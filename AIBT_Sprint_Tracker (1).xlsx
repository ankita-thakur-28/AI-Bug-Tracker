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4"/>
    <sheet state="visible" name="S1-Auth" sheetId="2" r:id="rId5"/>
    <sheet state="visible" name="S2-BugCRUD" sheetId="3" r:id="rId6"/>
    <sheet state="visible" name="S3-UserMgmt" sheetId="4" r:id="rId7"/>
    <sheet state="visible" name="S4-AI" sheetId="5" r:id="rId8"/>
    <sheet state="visible" name="S5-Playwright" sheetId="6" r:id="rId9"/>
    <sheet state="visible" name="S6-Email" sheetId="7" r:id="rId10"/>
    <sheet state="visible" name="S7-Hardening" sheetId="8" r:id="rId11"/>
    <sheet state="visible" name="S8-FE-Auth" sheetId="9" r:id="rId12"/>
    <sheet state="visible" name="S9-Admin" sheetId="10" r:id="rId13"/>
    <sheet state="visible" name="S10-DevDash" sheetId="11" r:id="rId14"/>
    <sheet state="visible" name="S11-Tester" sheetId="12" r:id="rId15"/>
    <sheet state="visible" name="S12-Polish" sheetId="13" r:id="rId16"/>
  </sheets>
  <definedNames/>
  <calcPr/>
  <extLst>
    <ext uri="GoogleSheetsCustomDataVersion2">
      <go:sheetsCustomData xmlns:go="http://customooxmlschemas.google.com/" r:id="rId17" roundtripDataChecksum="x/zAyqvKSHjPsWBfS77U0OF13h4KTklhqu5o3MhbBn8="/>
    </ext>
  </extLst>
</workbook>
</file>

<file path=xl/sharedStrings.xml><?xml version="1.0" encoding="utf-8"?>
<sst xmlns="http://schemas.openxmlformats.org/spreadsheetml/2006/main" count="526" uniqueCount="184">
  <si>
    <t>AI-Powered Bug Tracker — Sprint Tracker</t>
  </si>
  <si>
    <t>AIBT-2026  |  Project: Alok Ranjan  |  April 2026  |  v1.0</t>
  </si>
  <si>
    <t>Sprint Summary — live progress (auto-calculated from tracker sheets)</t>
  </si>
  <si>
    <t>Sprint</t>
  </si>
  <si>
    <t>Title</t>
  </si>
  <si>
    <t>Phase</t>
  </si>
  <si>
    <t>Tasks</t>
  </si>
  <si>
    <t>Done</t>
  </si>
  <si>
    <t>Progress</t>
  </si>
  <si>
    <t>Sprint 1</t>
  </si>
  <si>
    <t>Foundation &amp; Auth</t>
  </si>
  <si>
    <t>Backend</t>
  </si>
  <si>
    <t>Sprint 2</t>
  </si>
  <si>
    <t>Bug CRUD APIs</t>
  </si>
  <si>
    <t>Sprint 3</t>
  </si>
  <si>
    <t>User Management APIs</t>
  </si>
  <si>
    <t>Sprint 4</t>
  </si>
  <si>
    <t>AI Integration</t>
  </si>
  <si>
    <t>Sprint 5</t>
  </si>
  <si>
    <t>Playwright Test Runner</t>
  </si>
  <si>
    <t>Sprint 6</t>
  </si>
  <si>
    <t>Email Notifications</t>
  </si>
  <si>
    <t>Sprint 7</t>
  </si>
  <si>
    <t>Testing &amp; Hardening</t>
  </si>
  <si>
    <t>Sprint 8</t>
  </si>
  <si>
    <t>Setup &amp; Auth UI</t>
  </si>
  <si>
    <t>Frontend</t>
  </si>
  <si>
    <t>Sprint 9</t>
  </si>
  <si>
    <t>Admin Dashboard</t>
  </si>
  <si>
    <t>Sprint 10</t>
  </si>
  <si>
    <t>Developer Dashboard</t>
  </si>
  <si>
    <t>Sprint 11</t>
  </si>
  <si>
    <t>Tester Dashboard</t>
  </si>
  <si>
    <t>Sprint 12</t>
  </si>
  <si>
    <t>Polish &amp; QA</t>
  </si>
  <si>
    <t>TOTAL PROJECT</t>
  </si>
  <si>
    <t>STATUS LEGEND</t>
  </si>
  <si>
    <t>To Do</t>
  </si>
  <si>
    <t>In Progress</t>
  </si>
  <si>
    <t>Blocked</t>
  </si>
  <si>
    <t>HOW TO USE</t>
  </si>
  <si>
    <t>1.  Click any Sprint name above to jump directly to that sprint's task list.</t>
  </si>
  <si>
    <t>2.  On each sprint sheet, change the STATUS dropdown for each task (To Do / In Progress / Done / Blocked).</t>
  </si>
  <si>
    <t>3.  Dashboard progress % and Done counts update automatically via formulas — no manual entry needed.</t>
  </si>
  <si>
    <t>4.  Use the ASSIGNED TO column to note who owns each task.</t>
  </si>
  <si>
    <t>5.  Use the NOTES column for blockers, PR links, or completion notes.</t>
  </si>
  <si>
    <t>6.  PRIORITY is pre-filled (first 3 tasks = High, next 4 = Medium, rest = Low) — adjust as needed.</t>
  </si>
  <si>
    <t>Sprint 1  —  Foundation &amp; Auth</t>
  </si>
  <si>
    <t>Phase 1 — Backend  |  AI-Powered Bug Tracker (AIBT-2026)  |  Check off tasks as you complete them</t>
  </si>
  <si>
    <t>Completed</t>
  </si>
  <si>
    <t>Total Tasks: 13</t>
  </si>
  <si>
    <t>#</t>
  </si>
  <si>
    <t>Task Description</t>
  </si>
  <si>
    <t>Status</t>
  </si>
  <si>
    <t>Priority</t>
  </si>
  <si>
    <t>Assigned To</t>
  </si>
  <si>
    <t>Notes</t>
  </si>
  <si>
    <t>Create Spring Boot 3 project (Initializr: Web, JPA, Security, Validation, Lombok, PostgreSQL)</t>
  </si>
  <si>
    <t>High</t>
  </si>
  <si>
    <t>Configure application.properties — datasource, JPA DDL, server port</t>
  </si>
  <si>
    <t>Design JPA entity: User (id UUID, name, email, password, role ENUM, phone, createdAt)</t>
  </si>
  <si>
    <t>Design JPA entity: Bug (id UUID, title, description, severity, status, assignedTo FK, createdBy FK, timestamps)</t>
  </si>
  <si>
    <t>Medium</t>
  </si>
  <si>
    <t>Design JPA entity: TestScript (id UUID, bugId FK, code TEXT, status ENUM, logs TEXT, executedAt)</t>
  </si>
  <si>
    <t>Implement Spring Security — SecurityFilterChain, JwtAuthFilter, JwtUtil</t>
  </si>
  <si>
    <t>Token blacklist service for logout (in-memory Set or Redis)</t>
  </si>
  <si>
    <t>Auth endpoint: POST /api/auth/signup (Tester only)</t>
  </si>
  <si>
    <t>Low</t>
  </si>
  <si>
    <t>Auth endpoint: POST /api/auth/login (all roles, returns JWT)</t>
  </si>
  <si>
    <t>Auth endpoint: POST /api/auth/logout (invalidate token)</t>
  </si>
  <si>
    <t>Role-based route protection: ADMIN, DEVELOPER, TESTER mapped to endpoint patterns</t>
  </si>
  <si>
    <t>Global exception handler (@RestControllerAdvice) — 401, 403, 404, 400</t>
  </si>
  <si>
    <t>Unit tests for JwtUtil and AuthService</t>
  </si>
  <si>
    <t>Sprint 2  —  Bug CRUD APIs</t>
  </si>
  <si>
    <t>Total Tasks: 10</t>
  </si>
  <si>
    <t>POST /api/bugs — create bug (Admin or Tester) with field validation</t>
  </si>
  <si>
    <t>GET /api/bugs — list all bugs (Admin); scoped list for Developer and Tester</t>
  </si>
  <si>
    <t>GET /api/bugs/{id} — get single bug with associated TestScript</t>
  </si>
  <si>
    <t>PUT /api/bugs/{id} — full update (Admin only): title, description, severity, assignee, status</t>
  </si>
  <si>
    <t>DELETE /api/bugs/{id} — hard delete with cascade to TestScript (Admin only)</t>
  </si>
  <si>
    <t>PATCH /api/bugs/{id}/status — Developer updates: Open / In Progress / Resolved / Closed</t>
  </si>
  <si>
    <t>PATCH /api/bugs/{id}/cancel — Tester withdraws own bug (status = Withdrawn)</t>
  </si>
  <si>
    <t>Request/response DTOs for all endpoints (manual mapping or MapStruct)</t>
  </si>
  <si>
    <t>@Valid + custom constraint validators: severity enum, status transition rules</t>
  </si>
  <si>
    <t>Integration tests for all Bug endpoints using MockMvc</t>
  </si>
  <si>
    <t>Sprint 3  —  User Management APIs</t>
  </si>
  <si>
    <t>Total Tasks: 6</t>
  </si>
  <si>
    <t>GET /api/users — list all users (Admin): id, name, email, role, phone, createdAt</t>
  </si>
  <si>
    <t>PUT /api/users/{id} — Admin updates user: only email and phone editable</t>
  </si>
  <si>
    <t>DELETE /api/users/{id} — Admin hard-deletes user; prevent self-deletion</t>
  </si>
  <si>
    <t>PATCH /api/users/password — Tester changes own password with bcrypt verify</t>
  </si>
  <si>
    <t>Password change validation: min-length, reject re-use of current password</t>
  </si>
  <si>
    <t>Unit tests for UserService; integration tests for all User endpoints</t>
  </si>
  <si>
    <t>Sprint 4  —  AI Integration</t>
  </si>
  <si>
    <t>Total Tasks: 8</t>
  </si>
  <si>
    <t>AiService: build prompt from bug title + description</t>
  </si>
  <si>
    <t>Call Claude / Gemini / OpenAI API via RestTemplate or WebClient</t>
  </si>
  <si>
    <t>Parse AI response: extract raw Playwright JS code block and sanitise</t>
  </si>
  <si>
    <t>Save TestScript entity (code=AI output, status=PENDING) immediately after bug save</t>
  </si>
  <si>
    <t>Make AI call asynchronous (@Async + ThreadPoolTaskExecutor) — bug returns 201 instantly</t>
  </si>
  <si>
    <t>Handle AI API timeout (10s) and errors: mark status=AI_FAILED, do not block bug save</t>
  </si>
  <si>
    <t>Config: AI provider URL, API key, model, temperature — all from application.properties / env</t>
  </si>
  <si>
    <t>Unit tests for AiService with mocked HTTP client</t>
  </si>
  <si>
    <t>Sprint 5  —  Playwright Test Runner</t>
  </si>
  <si>
    <t>PlaywrightRunnerService: write AI JS code to temp file /tmp/aibt/&lt;bugId&gt;.spec.js</t>
  </si>
  <si>
    <t>Execute via ProcessBuilder: ['node', tempFilePath] with 30s timeout</t>
  </si>
  <si>
    <t>Capture stdout + stderr; parse exit code: 0=PASS, non-zero=FAIL</t>
  </si>
  <si>
    <t>Update TestScript: status=PASS/FAIL, logs=&lt;output&gt;, executedAt=now()</t>
  </si>
  <si>
    <t>Chain execution immediately after AI generation (CompletableFuture chain)</t>
  </si>
  <si>
    <t>GET /api/bugs/{id}/test-result — returns TestScript for frontend polling</t>
  </si>
  <si>
    <t>Verify Node.js and Playwright installed in runtime; document setup steps in README</t>
  </si>
  <si>
    <t>Integration test: submit dummy bug, verify TestScript status transitions</t>
  </si>
  <si>
    <t>Sprint 6  —  Email Notifications</t>
  </si>
  <si>
    <t>EmailService: wrap Brevo SMTP or Brevo Transactional REST API; inject credentials from env</t>
  </si>
  <si>
    <t>Email template 1 — Bug Created: to assigned Developer (title, severity, description, link)</t>
  </si>
  <si>
    <t>Email template 2 — Bug Updated (Admin edit): to Developer + Tester (changed fields)</t>
  </si>
  <si>
    <t>Email template 3 — Status Changed (Dev action): to Tester + Admin (new status highlighted)</t>
  </si>
  <si>
    <t>Email template 4 — Bug Withdrawn (Tester cancel): to assigned Developer</t>
  </si>
  <si>
    <t>Email template 5 — Test Result: to Tester (PASS/FAIL badge, truncated logs)</t>
  </si>
  <si>
    <t>All emails sent asynchronously (@Async) — do not block API response</t>
  </si>
  <si>
    <t>Integration test: mock Brevo API, verify correct recipients and subjects per event</t>
  </si>
  <si>
    <t>Sprint 7  —  Testing &amp; Hardening</t>
  </si>
  <si>
    <t>@PreAuthorize on every controller method verified against role matrix</t>
  </si>
  <si>
    <t>JWT expiry, signature validation, and blacklist tested under adversarial inputs</t>
  </si>
  <si>
    <t>Input sanitisation: reject script tags and SQL patterns in free-text fields</t>
  </si>
  <si>
    <t>Rate limiting on POST /api/auth/login (5 attempts/min via Bucket4j or custom filter)</t>
  </si>
  <si>
    <t>CORS configuration: whitelist React dev server and production domain only</t>
  </si>
  <si>
    <t>Full integration test suite: auth, bug CRUD, AI mock, email mock, test runner mock</t>
  </si>
  <si>
    <t>SpringDoc OpenAPI / Swagger UI at /swagger-ui.html — document all endpoints</t>
  </si>
  <si>
    <t>Code review, refactor, and performance baseline check (CRUD &lt; 200ms)</t>
  </si>
  <si>
    <t>Sprint 8  —  Setup &amp; Auth UI</t>
  </si>
  <si>
    <t>Phase 2 — Frontend  |  AI-Powered Bug Tracker (AIBT-2026)  |  Check off tasks as you complete them</t>
  </si>
  <si>
    <t>Total Tasks: 9</t>
  </si>
  <si>
    <t>Vite + React 18 scaffold; install React Router v6, Axios, CSS Modules</t>
  </si>
  <si>
    <t>Axios instance: base URL, JWT Authorization header interceptor, 401 redirect interceptor</t>
  </si>
  <si>
    <t>JWT stored in React context (never localStorage); clear on logout</t>
  </si>
  <si>
    <t>Login page: email + password form, inline validation, error toast (UC-001, UC-009, UC-014)</t>
  </si>
  <si>
    <t>Signup page (Tester only): name, email, password, confirm password, role=Tester hardcoded (UC-013)</t>
  </si>
  <si>
    <t>ProtectedRoute component: checks auth context, redirect to /login if unauthenticated</t>
  </si>
  <si>
    <t>RoleRoute component: checks user role, shows 403 page if wrong role</t>
  </si>
  <si>
    <t>Logout flow: POST /api/auth/logout, clear context, redirect to /login (UC-020)</t>
  </si>
  <si>
    <t>Reusable loading spinner and skeleton placeholder components</t>
  </si>
  <si>
    <t>Sprint 9  —  Admin Dashboard</t>
  </si>
  <si>
    <t>Admin dashboard layout: sidebar nav (Bugs, Manage Users, Logout) + topbar with avatar</t>
  </si>
  <si>
    <t>Bug list table: ID, title, severity badge, status badge, assignee, date, actions (edit/delete)</t>
  </si>
  <si>
    <t>Table client-side sort by any column and filter by status / severity pill chips</t>
  </si>
  <si>
    <t>Add Bug modal form: title, description, severity, developer dropdown — POST /api/bugs (UC-003)</t>
  </si>
  <si>
    <t>Edit Bug modal: pre-filled from selected row — PUT /api/bugs/{id} (UC-004)</t>
  </si>
  <si>
    <t>Delete Bug: confirmation dialog with bug title — DELETE /api/bugs/{id} (UC-005)</t>
  </si>
  <si>
    <t>Manage Users page: table of all users with Edit and Delete per row (UC-006)</t>
  </si>
  <si>
    <t>Update User Profile modal: email + phone only — PUT /api/users/{id} (UC-007)</t>
  </si>
  <si>
    <t>Delete User: confirmation dialog — DELETE /api/users/{id} (UC-008)</t>
  </si>
  <si>
    <t>Toast notification system (success / error) on every API action</t>
  </si>
  <si>
    <t>Sprint 10  —  Developer Dashboard</t>
  </si>
  <si>
    <t>Developer dashboard layout: sidebar (My Bugs, Logout) + topbar (UC-010)</t>
  </si>
  <si>
    <t>Assigned bugs table: title, severity, status, test result, filed date, actions</t>
  </si>
  <si>
    <t>Update Status: inline dropdown per row (Open/In Progress/Resolved/Closed) — PATCH (UC-011)</t>
  </si>
  <si>
    <t>Confirmation popover before status change: current → new status preview</t>
  </si>
  <si>
    <t>Email dispatch confirmation toast after status update</t>
  </si>
  <si>
    <t>Bug detail page (click row): full bug info + AI Generated Test section (UC-012)</t>
  </si>
  <si>
    <t>AI test script viewer: syntax-highlighted code block (highlight.js / Prism), Copy button</t>
  </si>
  <si>
    <t>Test result section: PASS/FAIL badge, executedAt timestamp, scrollable log output</t>
  </si>
  <si>
    <t>Poll GET /api/bugs/{id}/test-result every 3s while PENDING; stop on PASS or FAIL</t>
  </si>
  <si>
    <t>Sprint 11  —  Tester Dashboard</t>
  </si>
  <si>
    <t>Tester dashboard: sidebar + stat cards (total filed, open count, AI tests, pass rate)</t>
  </si>
  <si>
    <t>My bugs table: title, severity, status, test result, date, View + Cancel actions</t>
  </si>
  <si>
    <t>Filter pills: All / Open / In Progress / Resolved — client-side filter (UC-015)</t>
  </si>
  <si>
    <t>Submit Bug modal: title, plain-English description, severity, assign to dev — POST (UC-016)</t>
  </si>
  <si>
    <t>AI generation feedback: spinner after submission, auto-refresh test result</t>
  </si>
  <si>
    <t>Cancel Bug: confirmation dialog, PATCH /cancel, disable Cancel for Resolved/Withdrawn (UC-018)</t>
  </si>
  <si>
    <t>Bug detail page: AI test script viewer + test result logs, read-only (UC-017)</t>
  </si>
  <si>
    <t>Change Password modal: current, new, confirm — PATCH /api/users/password (UC-019)</t>
  </si>
  <si>
    <t>Inline validation on all forms: required, min-length, email format, password match</t>
  </si>
  <si>
    <t>Sprint 12  —  Polish &amp; QA</t>
  </si>
  <si>
    <t>Responsive layout audit: all dashboards work at 1280px and 1024px minimum</t>
  </si>
  <si>
    <t>Dark mode: CSS variables / media query implementation across all pages</t>
  </si>
  <si>
    <t>Empty state illustrations for tables with zero results</t>
  </si>
  <si>
    <t>Error boundary components: catch render errors, show friendly fallback UI</t>
  </si>
  <si>
    <t>Accessibility pass: ARIA labels on all interactive elements, keyboard navigation for modals</t>
  </si>
  <si>
    <t>Cross-browser test: Chrome, Firefox, Edge — verify JWT flow end-to-end</t>
  </si>
  <si>
    <t>E2E smoke test: Tester signup → submit bug → AI test → Developer status update → Tester sees result</t>
  </si>
  <si>
    <t>.env.production config (API base URL, AI key placeholder), README with setup steps</t>
  </si>
  <si>
    <t>Dockerfile for frontend (nginx) + docker-compose linking backend + frontend + PostgreSQL</t>
  </si>
  <si>
    <t>Final team review, bug bash, sign-off against all 20 use cases (UC-001 to UC-020)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</si>
</sst>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0">
    <font>
      <sz val="11.0"/>
      <color theme="1"/>
      <name val="Calibri"/>
      <scheme val="minor"/>
    </font>
    <font>
      <b/>
      <sz val="18.0"/>
      <color rgb="FFFFFFFF"/>
      <name val="Arial"/>
    </font>
    <font/>
    <font>
      <sz val="9.0"/>
      <color rgb="FFAFA9EC"/>
      <name val="Arial"/>
    </font>
    <font>
      <b/>
      <sz val="10.0"/>
      <color rgb="FFFFFFFF"/>
      <name val="Arial"/>
    </font>
    <font>
      <b/>
      <sz val="9.0"/>
      <color rgb="FFFFFFFF"/>
      <name val="Arial"/>
    </font>
    <font>
      <u/>
      <sz val="9.0"/>
      <color rgb="FF534AB7"/>
      <name val="Arial"/>
    </font>
    <font>
      <sz val="9.0"/>
      <color rgb="FFFFFFFF"/>
      <name val="Arial"/>
    </font>
    <font>
      <sz val="9.0"/>
      <color rgb="FF2C2C2A"/>
      <name val="Arial"/>
    </font>
    <font>
      <sz val="9.0"/>
      <color rgb="FF3B6D11"/>
      <name val="Arial"/>
    </font>
    <font>
      <sz val="9.0"/>
      <color rgb="FF534AB7"/>
      <name val="Arial"/>
    </font>
    <font>
      <u/>
      <sz val="9.0"/>
      <color rgb="FF534AB7"/>
      <name val="Arial"/>
    </font>
    <font>
      <b/>
      <sz val="10.0"/>
      <color rgb="FF2C2C2A"/>
      <name val="Arial"/>
    </font>
    <font>
      <b/>
      <sz val="10.0"/>
      <color rgb="FF3B6D11"/>
      <name val="Arial"/>
    </font>
    <font>
      <b/>
      <sz val="10.0"/>
      <color rgb="FF534AB7"/>
      <name val="Arial"/>
    </font>
    <font>
      <b/>
      <sz val="9.0"/>
      <color rgb="FF5F5E5A"/>
      <name val="Arial"/>
    </font>
    <font>
      <b/>
      <sz val="9.0"/>
      <color rgb="FF854F0B"/>
      <name val="Arial"/>
    </font>
    <font>
      <b/>
      <sz val="9.0"/>
      <color rgb="FF3B6D11"/>
      <name val="Arial"/>
    </font>
    <font>
      <b/>
      <sz val="9.0"/>
      <color rgb="FFA32D2D"/>
      <name val="Arial"/>
    </font>
    <font>
      <i/>
      <sz val="9.0"/>
      <color rgb="FF5F5E5A"/>
      <name val="Arial"/>
    </font>
    <font>
      <sz val="9.0"/>
      <color rgb="FF5F5E5A"/>
      <name val="Arial"/>
    </font>
    <font>
      <b/>
      <sz val="16.0"/>
      <color rgb="FFFFFFFF"/>
      <name val="Arial"/>
    </font>
    <font>
      <i/>
      <sz val="8.0"/>
      <color rgb="FF888780"/>
      <name val="Arial"/>
    </font>
    <font>
      <sz val="8.0"/>
      <color rgb="FF888780"/>
      <name val="Arial"/>
    </font>
    <font>
      <b/>
      <sz val="11.0"/>
      <color rgb="FF534AB7"/>
      <name val="Arial"/>
    </font>
    <font>
      <b/>
      <sz val="11.0"/>
      <color rgb="FF3B6D11"/>
      <name val="Arial"/>
    </font>
    <font>
      <sz val="11.0"/>
      <color theme="1"/>
      <name val="Calibri"/>
    </font>
    <font>
      <sz val="9.0"/>
      <color rgb="FF888780"/>
      <name val="Arial"/>
    </font>
    <font>
      <i/>
      <sz val="9.0"/>
      <color rgb="FF888780"/>
      <name val="Arial"/>
    </font>
    <font>
      <b/>
      <sz val="11.0"/>
      <color rgb="FF0F6E56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534AB7"/>
        <bgColor rgb="FF534AB7"/>
      </patternFill>
    </fill>
    <fill>
      <patternFill patternType="solid">
        <fgColor rgb="FF3C3489"/>
        <bgColor rgb="FF3C3489"/>
      </patternFill>
    </fill>
    <fill>
      <patternFill patternType="solid">
        <fgColor rgb="FF7F77DD"/>
        <bgColor rgb="FF7F77DD"/>
      </patternFill>
    </fill>
    <fill>
      <patternFill patternType="solid">
        <fgColor rgb="FFFFFFFF"/>
        <bgColor rgb="FFFFFFFF"/>
      </patternFill>
    </fill>
    <fill>
      <patternFill patternType="solid">
        <fgColor rgb="FFF7F6F2"/>
        <bgColor rgb="FFF7F6F2"/>
      </patternFill>
    </fill>
    <fill>
      <patternFill patternType="solid">
        <fgColor rgb="FF0F6E56"/>
        <bgColor rgb="FF0F6E56"/>
      </patternFill>
    </fill>
    <fill>
      <patternFill patternType="solid">
        <fgColor rgb="FFEEEDFE"/>
        <bgColor rgb="FFEEEDFE"/>
      </patternFill>
    </fill>
    <fill>
      <patternFill patternType="solid">
        <fgColor rgb="FFEAF3DE"/>
        <bgColor rgb="FFEAF3DE"/>
      </patternFill>
    </fill>
    <fill>
      <patternFill patternType="solid">
        <fgColor rgb="FFF1EFE8"/>
        <bgColor rgb="FFF1EFE8"/>
      </patternFill>
    </fill>
    <fill>
      <patternFill patternType="solid">
        <fgColor rgb="FFFAEEDA"/>
        <bgColor rgb="FFFAEEDA"/>
      </patternFill>
    </fill>
    <fill>
      <patternFill patternType="solid">
        <fgColor rgb="FFFCEBEB"/>
        <bgColor rgb="FFFCEBEB"/>
      </patternFill>
    </fill>
    <fill>
      <patternFill patternType="solid">
        <fgColor rgb="FFE1F5EE"/>
        <bgColor rgb="FFE1F5EE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top style="thin">
        <color rgb="FFD3D1C7"/>
      </top>
      <bottom style="thin">
        <color rgb="FFD3D1C7"/>
      </bottom>
    </border>
    <border>
      <right/>
      <top style="thin">
        <color rgb="FFD3D1C7"/>
      </top>
      <bottom style="thin">
        <color rgb="FFD3D1C7"/>
      </bottom>
    </border>
    <border>
      <right style="thin">
        <color rgb="FFD3D1C7"/>
      </righ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left" shrinkToFit="0" vertical="center" wrapText="0"/>
    </xf>
    <xf borderId="1" fillId="4" fontId="4" numFmtId="0" xfId="0" applyAlignment="1" applyBorder="1" applyFill="1" applyFont="1">
      <alignment horizontal="center" shrinkToFit="0" vertical="center" wrapText="0"/>
    </xf>
    <xf borderId="4" fillId="3" fontId="5" numFmtId="0" xfId="0" applyAlignment="1" applyBorder="1" applyFont="1">
      <alignment horizontal="center" shrinkToFit="0" vertical="center" wrapText="0"/>
    </xf>
    <xf borderId="4" fillId="2" fontId="5" numFmtId="0" xfId="0" applyAlignment="1" applyBorder="1" applyFont="1">
      <alignment horizontal="center" shrinkToFit="0" vertical="center" wrapText="0"/>
    </xf>
    <xf borderId="4" fillId="5" fontId="6" numFmtId="0" xfId="0" applyAlignment="1" applyBorder="1" applyFill="1" applyFont="1">
      <alignment horizontal="left" shrinkToFit="0" vertical="center" wrapText="0"/>
    </xf>
    <xf borderId="4" fillId="2" fontId="7" numFmtId="0" xfId="0" applyAlignment="1" applyBorder="1" applyFont="1">
      <alignment horizontal="center" shrinkToFit="0" vertical="center" wrapText="0"/>
    </xf>
    <xf borderId="4" fillId="5" fontId="8" numFmtId="0" xfId="0" applyAlignment="1" applyBorder="1" applyFont="1">
      <alignment horizontal="center" shrinkToFit="0" vertical="center" wrapText="0"/>
    </xf>
    <xf borderId="4" fillId="5" fontId="9" numFmtId="0" xfId="0" applyAlignment="1" applyBorder="1" applyFont="1">
      <alignment horizontal="center" shrinkToFit="0" vertical="center" wrapText="0"/>
    </xf>
    <xf borderId="4" fillId="5" fontId="10" numFmtId="9" xfId="0" applyAlignment="1" applyBorder="1" applyFont="1" applyNumberFormat="1">
      <alignment horizontal="center" shrinkToFit="0" vertical="center" wrapText="0"/>
    </xf>
    <xf borderId="4" fillId="6" fontId="11" numFmtId="0" xfId="0" applyAlignment="1" applyBorder="1" applyFill="1" applyFont="1">
      <alignment horizontal="left" shrinkToFit="0" vertical="center" wrapText="0"/>
    </xf>
    <xf borderId="4" fillId="6" fontId="8" numFmtId="0" xfId="0" applyAlignment="1" applyBorder="1" applyFont="1">
      <alignment horizontal="center" shrinkToFit="0" vertical="center" wrapText="0"/>
    </xf>
    <xf borderId="4" fillId="6" fontId="9" numFmtId="0" xfId="0" applyAlignment="1" applyBorder="1" applyFont="1">
      <alignment horizontal="center" shrinkToFit="0" vertical="center" wrapText="0"/>
    </xf>
    <xf borderId="4" fillId="6" fontId="10" numFmtId="9" xfId="0" applyAlignment="1" applyBorder="1" applyFont="1" applyNumberFormat="1">
      <alignment horizontal="center" shrinkToFit="0" vertical="center" wrapText="0"/>
    </xf>
    <xf borderId="4" fillId="7" fontId="5" numFmtId="0" xfId="0" applyAlignment="1" applyBorder="1" applyFill="1" applyFont="1">
      <alignment horizontal="center" shrinkToFit="0" vertical="center" wrapText="0"/>
    </xf>
    <xf borderId="4" fillId="7" fontId="7" numFmtId="0" xfId="0" applyAlignment="1" applyBorder="1" applyFont="1">
      <alignment horizontal="center" shrinkToFit="0" vertical="center" wrapText="0"/>
    </xf>
    <xf borderId="5" fillId="3" fontId="4" numFmtId="0" xfId="0" applyAlignment="1" applyBorder="1" applyFont="1">
      <alignment horizontal="center" shrinkToFit="0" vertical="center" wrapText="0"/>
    </xf>
    <xf borderId="6" fillId="0" fontId="2" numFmtId="0" xfId="0" applyBorder="1" applyFont="1"/>
    <xf borderId="7" fillId="0" fontId="2" numFmtId="0" xfId="0" applyBorder="1" applyFont="1"/>
    <xf borderId="4" fillId="8" fontId="12" numFmtId="0" xfId="0" applyAlignment="1" applyBorder="1" applyFill="1" applyFont="1">
      <alignment horizontal="center" shrinkToFit="0" vertical="center" wrapText="0"/>
    </xf>
    <xf borderId="4" fillId="9" fontId="13" numFmtId="0" xfId="0" applyAlignment="1" applyBorder="1" applyFill="1" applyFont="1">
      <alignment horizontal="center" shrinkToFit="0" vertical="center" wrapText="0"/>
    </xf>
    <xf borderId="4" fillId="8" fontId="14" numFmtId="9" xfId="0" applyAlignment="1" applyBorder="1" applyFont="1" applyNumberFormat="1">
      <alignment horizontal="center" shrinkToFit="0" vertical="center" wrapText="0"/>
    </xf>
    <xf borderId="5" fillId="4" fontId="5" numFmtId="0" xfId="0" applyAlignment="1" applyBorder="1" applyFont="1">
      <alignment horizontal="center" shrinkToFit="0" vertical="center" wrapText="0"/>
    </xf>
    <xf borderId="4" fillId="10" fontId="15" numFmtId="0" xfId="0" applyAlignment="1" applyBorder="1" applyFill="1" applyFont="1">
      <alignment horizontal="center" shrinkToFit="0" vertical="center" wrapText="0"/>
    </xf>
    <xf borderId="4" fillId="11" fontId="16" numFmtId="0" xfId="0" applyAlignment="1" applyBorder="1" applyFill="1" applyFont="1">
      <alignment horizontal="center" shrinkToFit="0" vertical="center" wrapText="0"/>
    </xf>
    <xf borderId="4" fillId="9" fontId="17" numFmtId="0" xfId="0" applyAlignment="1" applyBorder="1" applyFont="1">
      <alignment horizontal="center" shrinkToFit="0" vertical="center" wrapText="0"/>
    </xf>
    <xf borderId="4" fillId="12" fontId="18" numFmtId="0" xfId="0" applyAlignment="1" applyBorder="1" applyFill="1" applyFont="1">
      <alignment horizontal="center" shrinkToFit="0" vertical="center" wrapText="0"/>
    </xf>
    <xf borderId="1" fillId="7" fontId="5" numFmtId="0" xfId="0" applyAlignment="1" applyBorder="1" applyFont="1">
      <alignment horizontal="center" shrinkToFit="0" vertical="center" wrapText="0"/>
    </xf>
    <xf borderId="5" fillId="13" fontId="19" numFmtId="0" xfId="0" applyAlignment="1" applyBorder="1" applyFill="1" applyFont="1">
      <alignment horizontal="left" shrinkToFit="0" vertical="center" wrapText="0"/>
    </xf>
    <xf borderId="5" fillId="5" fontId="20" numFmtId="0" xfId="0" applyAlignment="1" applyBorder="1" applyFont="1">
      <alignment horizontal="left" shrinkToFit="0" vertical="center" wrapText="0"/>
    </xf>
    <xf borderId="5" fillId="13" fontId="20" numFmtId="0" xfId="0" applyAlignment="1" applyBorder="1" applyFont="1">
      <alignment horizontal="left" shrinkToFit="0" vertical="center" wrapText="0"/>
    </xf>
    <xf borderId="1" fillId="2" fontId="21" numFmtId="0" xfId="0" applyAlignment="1" applyBorder="1" applyFont="1">
      <alignment horizontal="left" shrinkToFit="0" vertical="center" wrapText="0"/>
    </xf>
    <xf borderId="1" fillId="10" fontId="22" numFmtId="0" xfId="0" applyAlignment="1" applyBorder="1" applyFont="1">
      <alignment horizontal="left" shrinkToFit="0" vertical="center" wrapText="0"/>
    </xf>
    <xf borderId="0" fillId="0" fontId="23" numFmtId="0" xfId="0" applyAlignment="1" applyFont="1">
      <alignment horizontal="center" shrinkToFit="0" vertical="center" wrapText="0"/>
    </xf>
    <xf borderId="5" fillId="10" fontId="24" numFmtId="0" xfId="0" applyAlignment="1" applyBorder="1" applyFont="1">
      <alignment horizontal="center" shrinkToFit="0" vertical="center" wrapText="0"/>
    </xf>
    <xf borderId="5" fillId="9" fontId="25" numFmtId="0" xfId="0" applyAlignment="1" applyBorder="1" applyFont="1">
      <alignment horizontal="center" shrinkToFit="0" vertical="center" wrapText="0"/>
    </xf>
    <xf borderId="8" fillId="0" fontId="2" numFmtId="0" xfId="0" applyBorder="1" applyFont="1"/>
    <xf borderId="5" fillId="8" fontId="24" numFmtId="9" xfId="0" applyAlignment="1" applyBorder="1" applyFont="1" applyNumberFormat="1">
      <alignment horizontal="center" shrinkToFit="0" vertical="center" wrapText="0"/>
    </xf>
    <xf borderId="9" fillId="10" fontId="26" numFmtId="0" xfId="0" applyAlignment="1" applyBorder="1" applyFont="1">
      <alignment shrinkToFit="0" vertical="bottom" wrapText="0"/>
    </xf>
    <xf borderId="4" fillId="0" fontId="27" numFmtId="0" xfId="0" applyAlignment="1" applyBorder="1" applyFont="1">
      <alignment horizontal="center" shrinkToFit="0" vertical="center" wrapText="0"/>
    </xf>
    <xf borderId="4" fillId="0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center" readingOrder="0" shrinkToFit="0" vertical="center" wrapText="0"/>
    </xf>
    <xf borderId="4" fillId="0" fontId="8" numFmtId="0" xfId="0" applyAlignment="1" applyBorder="1" applyFont="1">
      <alignment horizontal="center" shrinkToFit="0" vertical="center" wrapText="0"/>
    </xf>
    <xf borderId="4" fillId="0" fontId="28" numFmtId="0" xfId="0" applyAlignment="1" applyBorder="1" applyFont="1">
      <alignment horizontal="left" shrinkToFit="0" vertical="center" wrapText="0"/>
    </xf>
    <xf borderId="4" fillId="6" fontId="27" numFmtId="0" xfId="0" applyAlignment="1" applyBorder="1" applyFont="1">
      <alignment horizontal="center" shrinkToFit="0" vertical="center" wrapText="0"/>
    </xf>
    <xf borderId="4" fillId="6" fontId="8" numFmtId="0" xfId="0" applyAlignment="1" applyBorder="1" applyFont="1">
      <alignment horizontal="left" shrinkToFit="0" vertical="center" wrapText="1"/>
    </xf>
    <xf borderId="4" fillId="6" fontId="8" numFmtId="0" xfId="0" applyAlignment="1" applyBorder="1" applyFont="1">
      <alignment horizontal="center" readingOrder="0" shrinkToFit="0" vertical="center" wrapText="0"/>
    </xf>
    <xf borderId="4" fillId="6" fontId="28" numFmtId="0" xfId="0" applyAlignment="1" applyBorder="1" applyFont="1">
      <alignment horizontal="left" shrinkToFit="0" vertical="center" wrapText="0"/>
    </xf>
    <xf borderId="1" fillId="7" fontId="21" numFmtId="0" xfId="0" applyAlignment="1" applyBorder="1" applyFont="1">
      <alignment horizontal="left" shrinkToFit="0" vertical="center" wrapText="0"/>
    </xf>
    <xf borderId="5" fillId="10" fontId="29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3">
    <dxf>
      <font>
        <sz val="9.0"/>
        <color rgb="FF3B6D11"/>
        <name val="Arial"/>
      </font>
      <fill>
        <patternFill patternType="solid">
          <fgColor rgb="FFEAF3DE"/>
          <bgColor rgb="FFEAF3DE"/>
        </patternFill>
      </fill>
      <border/>
    </dxf>
    <dxf>
      <font/>
      <fill>
        <patternFill patternType="solid">
          <fgColor rgb="FFFAEEDA"/>
          <bgColor rgb="FFFAEEDA"/>
        </patternFill>
      </fill>
      <border/>
    </dxf>
    <dxf>
      <font>
        <sz val="9.0"/>
        <color rgb="FFA32D2D"/>
        <name val="Arial"/>
      </font>
      <fill>
        <patternFill patternType="solid">
          <fgColor rgb="FFFCEBEB"/>
          <bgColor rgb="FFFCEBEB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aibt_sprint_tracker.xlsx" TargetMode="External"/><Relationship Id="rId10" Type="http://schemas.openxmlformats.org/officeDocument/2006/relationships/hyperlink" Target="http://aibt_sprint_tracker.xlsx" TargetMode="External"/><Relationship Id="rId13" Type="http://schemas.openxmlformats.org/officeDocument/2006/relationships/drawing" Target="../drawings/drawing1.xml"/><Relationship Id="rId12" Type="http://schemas.openxmlformats.org/officeDocument/2006/relationships/hyperlink" Target="http://aibt_sprint_tracker.xlsx" TargetMode="External"/><Relationship Id="rId1" Type="http://schemas.openxmlformats.org/officeDocument/2006/relationships/hyperlink" Target="http://aibt_sprint_tracker.xlsx" TargetMode="External"/><Relationship Id="rId2" Type="http://schemas.openxmlformats.org/officeDocument/2006/relationships/hyperlink" Target="http://aibt_sprint_tracker.xlsx" TargetMode="External"/><Relationship Id="rId3" Type="http://schemas.openxmlformats.org/officeDocument/2006/relationships/hyperlink" Target="http://aibt_sprint_tracker.xlsx" TargetMode="External"/><Relationship Id="rId4" Type="http://schemas.openxmlformats.org/officeDocument/2006/relationships/hyperlink" Target="http://aibt_sprint_tracker.xlsx" TargetMode="External"/><Relationship Id="rId9" Type="http://schemas.openxmlformats.org/officeDocument/2006/relationships/hyperlink" Target="http://aibt_sprint_tracker.xlsx" TargetMode="External"/><Relationship Id="rId5" Type="http://schemas.openxmlformats.org/officeDocument/2006/relationships/hyperlink" Target="http://aibt_sprint_tracker.xlsx" TargetMode="External"/><Relationship Id="rId6" Type="http://schemas.openxmlformats.org/officeDocument/2006/relationships/hyperlink" Target="http://aibt_sprint_tracker.xlsx" TargetMode="External"/><Relationship Id="rId7" Type="http://schemas.openxmlformats.org/officeDocument/2006/relationships/hyperlink" Target="http://aibt_sprint_tracker.xlsx" TargetMode="External"/><Relationship Id="rId8" Type="http://schemas.openxmlformats.org/officeDocument/2006/relationships/hyperlink" Target="http://aibt_sprint_tracker.xlsx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4AB7"/>
    <pageSetUpPr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4.43" defaultRowHeight="15.0"/>
  <cols>
    <col customWidth="1" min="1" max="1" width="3.0"/>
    <col customWidth="1" min="2" max="2" width="26.0"/>
    <col customWidth="1" min="3" max="7" width="14.0"/>
    <col customWidth="1" min="8" max="26" width="8.71"/>
  </cols>
  <sheetData>
    <row r="1" ht="7.5" customHeight="1"/>
    <row r="2" ht="39.75" customHeight="1">
      <c r="B2" s="1" t="s">
        <v>0</v>
      </c>
      <c r="C2" s="2"/>
      <c r="D2" s="2"/>
      <c r="E2" s="2"/>
      <c r="F2" s="2"/>
      <c r="G2" s="3"/>
    </row>
    <row r="3" ht="19.5" customHeight="1">
      <c r="B3" s="4" t="s">
        <v>1</v>
      </c>
      <c r="C3" s="2"/>
      <c r="D3" s="2"/>
      <c r="E3" s="2"/>
      <c r="F3" s="2"/>
      <c r="G3" s="3"/>
    </row>
    <row r="4" ht="27.75" customHeight="1"/>
    <row r="5" ht="24.0" customHeight="1">
      <c r="B5" s="5" t="s">
        <v>2</v>
      </c>
      <c r="C5" s="2"/>
      <c r="D5" s="2"/>
      <c r="E5" s="2"/>
      <c r="F5" s="2"/>
      <c r="G5" s="3"/>
    </row>
    <row r="6" ht="18.0" customHeight="1">
      <c r="B6" s="6" t="s">
        <v>3</v>
      </c>
      <c r="C6" s="6" t="s">
        <v>4</v>
      </c>
      <c r="D6" s="6" t="s">
        <v>5</v>
      </c>
      <c r="E6" s="6" t="s">
        <v>6</v>
      </c>
      <c r="F6" s="6" t="s">
        <v>7</v>
      </c>
      <c r="G6" s="6" t="s">
        <v>8</v>
      </c>
    </row>
    <row r="7" ht="19.5" customHeight="1">
      <c r="B7" s="7" t="s">
        <v>9</v>
      </c>
      <c r="C7" s="8" t="s">
        <v>10</v>
      </c>
      <c r="D7" s="9" t="s">
        <v>11</v>
      </c>
      <c r="E7" s="10">
        <v>13.0</v>
      </c>
      <c r="F7" s="11">
        <f>COUNTIF('S1-Auth'!D8:D20,"Done")</f>
        <v>13</v>
      </c>
      <c r="G7" s="12">
        <f>IFERROR(F7/13,0)</f>
        <v>1</v>
      </c>
    </row>
    <row r="8" ht="19.5" customHeight="1">
      <c r="B8" s="7" t="s">
        <v>12</v>
      </c>
      <c r="C8" s="13" t="s">
        <v>13</v>
      </c>
      <c r="D8" s="9" t="s">
        <v>11</v>
      </c>
      <c r="E8" s="14">
        <v>10.0</v>
      </c>
      <c r="F8" s="15">
        <f>COUNTIF('S2-BugCRUD'!D8:D17,"Done")</f>
        <v>10</v>
      </c>
      <c r="G8" s="16">
        <f>IFERROR(F8/10,0)</f>
        <v>1</v>
      </c>
    </row>
    <row r="9" ht="19.5" customHeight="1">
      <c r="B9" s="7" t="s">
        <v>14</v>
      </c>
      <c r="C9" s="8" t="s">
        <v>15</v>
      </c>
      <c r="D9" s="9" t="s">
        <v>11</v>
      </c>
      <c r="E9" s="10">
        <v>6.0</v>
      </c>
      <c r="F9" s="11">
        <f>COUNTIF('S3-UserMgmt'!D8:D13,"Done")</f>
        <v>6</v>
      </c>
      <c r="G9" s="12">
        <f>IFERROR(F9/6,0)</f>
        <v>1</v>
      </c>
    </row>
    <row r="10" ht="19.5" customHeight="1">
      <c r="B10" s="7" t="s">
        <v>16</v>
      </c>
      <c r="C10" s="13" t="s">
        <v>17</v>
      </c>
      <c r="D10" s="9" t="s">
        <v>11</v>
      </c>
      <c r="E10" s="14">
        <v>8.0</v>
      </c>
      <c r="F10" s="15">
        <f>COUNTIF('S4-AI'!D8:D15,"Done")</f>
        <v>2</v>
      </c>
      <c r="G10" s="16">
        <f t="shared" ref="G10:G13" si="1">IFERROR(F10/8,0)</f>
        <v>0.25</v>
      </c>
    </row>
    <row r="11" ht="19.5" customHeight="1">
      <c r="B11" s="7" t="s">
        <v>18</v>
      </c>
      <c r="C11" s="8" t="s">
        <v>19</v>
      </c>
      <c r="D11" s="9" t="s">
        <v>11</v>
      </c>
      <c r="E11" s="10">
        <v>8.0</v>
      </c>
      <c r="F11" s="11">
        <f>COUNTIF('S5-Playwright'!D8:D15,"Done")</f>
        <v>0</v>
      </c>
      <c r="G11" s="12">
        <f t="shared" si="1"/>
        <v>0</v>
      </c>
    </row>
    <row r="12" ht="19.5" customHeight="1">
      <c r="B12" s="7" t="s">
        <v>20</v>
      </c>
      <c r="C12" s="13" t="s">
        <v>21</v>
      </c>
      <c r="D12" s="9" t="s">
        <v>11</v>
      </c>
      <c r="E12" s="14">
        <v>8.0</v>
      </c>
      <c r="F12" s="15">
        <f>COUNTIF('S6-Email'!D8:D15,"Done")</f>
        <v>0</v>
      </c>
      <c r="G12" s="16">
        <f t="shared" si="1"/>
        <v>0</v>
      </c>
    </row>
    <row r="13" ht="19.5" customHeight="1">
      <c r="B13" s="7" t="s">
        <v>22</v>
      </c>
      <c r="C13" s="8" t="s">
        <v>23</v>
      </c>
      <c r="D13" s="9" t="s">
        <v>11</v>
      </c>
      <c r="E13" s="10">
        <v>8.0</v>
      </c>
      <c r="F13" s="11">
        <f>COUNTIF('S7-Hardening'!D8:D15,"Done")</f>
        <v>0</v>
      </c>
      <c r="G13" s="12">
        <f t="shared" si="1"/>
        <v>0</v>
      </c>
    </row>
    <row r="14" ht="19.5" customHeight="1">
      <c r="B14" s="17" t="s">
        <v>24</v>
      </c>
      <c r="C14" s="13" t="s">
        <v>25</v>
      </c>
      <c r="D14" s="18" t="s">
        <v>26</v>
      </c>
      <c r="E14" s="14">
        <v>9.0</v>
      </c>
      <c r="F14" s="15">
        <f>COUNTIF('S8-FE-Auth'!D8:D16,"Done")</f>
        <v>0</v>
      </c>
      <c r="G14" s="16">
        <f>IFERROR(F14/9,0)</f>
        <v>0</v>
      </c>
    </row>
    <row r="15" ht="19.5" customHeight="1">
      <c r="B15" s="17" t="s">
        <v>27</v>
      </c>
      <c r="C15" s="8" t="s">
        <v>28</v>
      </c>
      <c r="D15" s="18" t="s">
        <v>26</v>
      </c>
      <c r="E15" s="10">
        <v>10.0</v>
      </c>
      <c r="F15" s="11">
        <f>COUNTIF('S9-Admin'!D8:D17,"Done")</f>
        <v>0</v>
      </c>
      <c r="G15" s="12">
        <f>IFERROR(F15/10,0)</f>
        <v>0</v>
      </c>
    </row>
    <row r="16" ht="19.5" customHeight="1">
      <c r="B16" s="17" t="s">
        <v>29</v>
      </c>
      <c r="C16" s="13" t="s">
        <v>30</v>
      </c>
      <c r="D16" s="18" t="s">
        <v>26</v>
      </c>
      <c r="E16" s="14">
        <v>9.0</v>
      </c>
      <c r="F16" s="15">
        <f>COUNTIF('S10-DevDash'!D8:D16,"Done")</f>
        <v>0</v>
      </c>
      <c r="G16" s="16">
        <f t="shared" ref="G16:G17" si="2">IFERROR(F16/9,0)</f>
        <v>0</v>
      </c>
    </row>
    <row r="17" ht="19.5" customHeight="1">
      <c r="B17" s="17" t="s">
        <v>31</v>
      </c>
      <c r="C17" s="8" t="s">
        <v>32</v>
      </c>
      <c r="D17" s="18" t="s">
        <v>26</v>
      </c>
      <c r="E17" s="10">
        <v>9.0</v>
      </c>
      <c r="F17" s="11">
        <f>COUNTIF('S11-Tester'!D8:D16,"Done")</f>
        <v>0</v>
      </c>
      <c r="G17" s="12">
        <f t="shared" si="2"/>
        <v>0</v>
      </c>
    </row>
    <row r="18" ht="19.5" customHeight="1">
      <c r="B18" s="17" t="s">
        <v>33</v>
      </c>
      <c r="C18" s="13" t="s">
        <v>34</v>
      </c>
      <c r="D18" s="18" t="s">
        <v>26</v>
      </c>
      <c r="E18" s="14">
        <v>10.0</v>
      </c>
      <c r="F18" s="15">
        <f>COUNTIF('S12-Polish'!D8:D17,"Done")</f>
        <v>0</v>
      </c>
      <c r="G18" s="16">
        <f>IFERROR(F18/10,0)</f>
        <v>0</v>
      </c>
    </row>
    <row r="19" ht="24.0" customHeight="1">
      <c r="B19" s="19" t="s">
        <v>35</v>
      </c>
      <c r="C19" s="20"/>
      <c r="D19" s="21"/>
      <c r="E19" s="22">
        <v>108.0</v>
      </c>
      <c r="F19" s="23">
        <f>SUM(F7:F18)</f>
        <v>31</v>
      </c>
      <c r="G19" s="24">
        <f>IFERROR(F19/108,0)</f>
        <v>0.287037037</v>
      </c>
    </row>
    <row r="21" ht="19.5" customHeight="1">
      <c r="B21" s="25" t="s">
        <v>36</v>
      </c>
      <c r="C21" s="20"/>
      <c r="D21" s="20"/>
      <c r="E21" s="20"/>
      <c r="F21" s="20"/>
      <c r="G21" s="21"/>
    </row>
    <row r="22" ht="18.0" customHeight="1">
      <c r="B22" s="26" t="s">
        <v>37</v>
      </c>
      <c r="C22" s="27" t="s">
        <v>38</v>
      </c>
      <c r="D22" s="28" t="s">
        <v>7</v>
      </c>
      <c r="E22" s="29" t="s">
        <v>39</v>
      </c>
    </row>
    <row r="23" ht="15.75" customHeight="1"/>
    <row r="24" ht="18.0" customHeight="1">
      <c r="B24" s="30" t="s">
        <v>40</v>
      </c>
      <c r="C24" s="2"/>
      <c r="D24" s="2"/>
      <c r="E24" s="2"/>
      <c r="F24" s="2"/>
      <c r="G24" s="3"/>
    </row>
    <row r="25" ht="15.75" customHeight="1">
      <c r="B25" s="31" t="s">
        <v>41</v>
      </c>
      <c r="C25" s="20"/>
      <c r="D25" s="20"/>
      <c r="E25" s="20"/>
      <c r="F25" s="20"/>
      <c r="G25" s="21"/>
    </row>
    <row r="26" ht="15.75" customHeight="1">
      <c r="B26" s="32" t="s">
        <v>42</v>
      </c>
      <c r="C26" s="20"/>
      <c r="D26" s="20"/>
      <c r="E26" s="20"/>
      <c r="F26" s="20"/>
      <c r="G26" s="21"/>
    </row>
    <row r="27" ht="15.75" customHeight="1">
      <c r="B27" s="33" t="s">
        <v>43</v>
      </c>
      <c r="C27" s="20"/>
      <c r="D27" s="20"/>
      <c r="E27" s="20"/>
      <c r="F27" s="20"/>
      <c r="G27" s="21"/>
    </row>
    <row r="28" ht="15.75" customHeight="1">
      <c r="B28" s="32" t="s">
        <v>44</v>
      </c>
      <c r="C28" s="20"/>
      <c r="D28" s="20"/>
      <c r="E28" s="20"/>
      <c r="F28" s="20"/>
      <c r="G28" s="21"/>
    </row>
    <row r="29" ht="15.75" customHeight="1">
      <c r="B29" s="33" t="s">
        <v>45</v>
      </c>
      <c r="C29" s="20"/>
      <c r="D29" s="20"/>
      <c r="E29" s="20"/>
      <c r="F29" s="20"/>
      <c r="G29" s="21"/>
    </row>
    <row r="30" ht="15.75" customHeight="1">
      <c r="B30" s="32" t="s">
        <v>46</v>
      </c>
      <c r="C30" s="20"/>
      <c r="D30" s="20"/>
      <c r="E30" s="20"/>
      <c r="F30" s="20"/>
      <c r="G30" s="21"/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B26:G26"/>
    <mergeCell ref="B27:G27"/>
    <mergeCell ref="B28:G28"/>
    <mergeCell ref="B29:G29"/>
    <mergeCell ref="B30:G30"/>
    <mergeCell ref="B2:G2"/>
    <mergeCell ref="B3:G3"/>
    <mergeCell ref="B5:G5"/>
    <mergeCell ref="B19:D19"/>
    <mergeCell ref="B21:G21"/>
    <mergeCell ref="B24:G24"/>
    <mergeCell ref="B25:G25"/>
  </mergeCells>
  <hyperlinks>
    <hyperlink r:id="rId1" location="S1-Auth!C8" ref="C7"/>
    <hyperlink r:id="rId2" location="S2-BugCRUD!C8" ref="C8"/>
    <hyperlink r:id="rId3" location="S3-UserMgmt!C8" ref="C9"/>
    <hyperlink r:id="rId4" location="S4-AI!C8" ref="C10"/>
    <hyperlink r:id="rId5" location="S5-Playwright!C8" ref="C11"/>
    <hyperlink r:id="rId6" location="S6-Email!C8" ref="C12"/>
    <hyperlink r:id="rId7" location="S7-Hardening!C8" ref="C13"/>
    <hyperlink r:id="rId8" location="S8-FE-Auth!C8" ref="C14"/>
    <hyperlink r:id="rId9" location="S9-Admin!C8" ref="C15"/>
    <hyperlink r:id="rId10" location="S10-DevDash!C8" ref="C16"/>
    <hyperlink r:id="rId11" location="S11-Tester!C8" ref="C17"/>
    <hyperlink r:id="rId12" location="S12-Polish!C8" ref="C18"/>
  </hyperlinks>
  <printOptions/>
  <pageMargins bottom="1.0" footer="0.0" header="0.0" left="0.75" right="0.75" top="1.0"/>
  <pageSetup paperSize="9" orientation="portrait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4AB7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34" t="s">
        <v>47</v>
      </c>
      <c r="C2" s="2"/>
      <c r="D2" s="2"/>
      <c r="E2" s="2"/>
      <c r="F2" s="2"/>
      <c r="G2" s="3"/>
    </row>
    <row r="3" ht="18.0" customHeight="1">
      <c r="B3" s="35" t="s">
        <v>48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37" t="s">
        <v>50</v>
      </c>
      <c r="C5" s="21"/>
      <c r="D5" s="38">
        <f>COUNTIF(D8:D20,"Done")</f>
        <v>13</v>
      </c>
      <c r="E5" s="39"/>
      <c r="F5" s="40">
        <f>IFERROR(D5/13,"0%")</f>
        <v>1</v>
      </c>
      <c r="G5" s="39"/>
    </row>
    <row r="6" ht="7.5" customHeight="1"/>
    <row r="7" ht="19.5" customHeight="1">
      <c r="A7" s="7"/>
      <c r="B7" s="7" t="s">
        <v>51</v>
      </c>
      <c r="C7" s="7" t="s">
        <v>52</v>
      </c>
      <c r="D7" s="7" t="s">
        <v>53</v>
      </c>
      <c r="E7" s="7" t="s">
        <v>54</v>
      </c>
      <c r="F7" s="7" t="s">
        <v>55</v>
      </c>
      <c r="G7" s="7" t="s">
        <v>56</v>
      </c>
    </row>
    <row r="8" ht="21.75" customHeight="1">
      <c r="A8" s="41"/>
      <c r="B8" s="42">
        <v>1.0</v>
      </c>
      <c r="C8" s="43" t="s">
        <v>57</v>
      </c>
      <c r="D8" s="44" t="s">
        <v>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59</v>
      </c>
      <c r="D9" s="49" t="s">
        <v>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60</v>
      </c>
      <c r="D10" s="44" t="s">
        <v>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61</v>
      </c>
      <c r="D11" s="49" t="s">
        <v>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63</v>
      </c>
      <c r="D12" s="44" t="s">
        <v>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64</v>
      </c>
      <c r="D13" s="49" t="s">
        <v>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65</v>
      </c>
      <c r="D14" s="44" t="s">
        <v>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66</v>
      </c>
      <c r="D15" s="49" t="s">
        <v>7</v>
      </c>
      <c r="E15" s="14" t="s">
        <v>67</v>
      </c>
      <c r="F15" s="14"/>
      <c r="G15" s="50"/>
      <c r="H15" s="41"/>
    </row>
    <row r="16" ht="21.75" customHeight="1">
      <c r="A16" s="41"/>
      <c r="B16" s="42">
        <v>9.0</v>
      </c>
      <c r="C16" s="43" t="s">
        <v>68</v>
      </c>
      <c r="D16" s="44" t="s">
        <v>7</v>
      </c>
      <c r="E16" s="45" t="s">
        <v>67</v>
      </c>
      <c r="F16" s="45"/>
      <c r="G16" s="46"/>
      <c r="H16" s="41"/>
    </row>
    <row r="17" ht="21.75" customHeight="1">
      <c r="A17" s="41"/>
      <c r="B17" s="47">
        <v>10.0</v>
      </c>
      <c r="C17" s="48" t="s">
        <v>69</v>
      </c>
      <c r="D17" s="49" t="s">
        <v>7</v>
      </c>
      <c r="E17" s="14" t="s">
        <v>67</v>
      </c>
      <c r="F17" s="14"/>
      <c r="G17" s="50"/>
      <c r="H17" s="41"/>
    </row>
    <row r="18" ht="21.75" customHeight="1">
      <c r="A18" s="41"/>
      <c r="B18" s="42">
        <v>11.0</v>
      </c>
      <c r="C18" s="43" t="s">
        <v>70</v>
      </c>
      <c r="D18" s="44" t="s">
        <v>7</v>
      </c>
      <c r="E18" s="45" t="s">
        <v>67</v>
      </c>
      <c r="F18" s="45"/>
      <c r="G18" s="46"/>
      <c r="H18" s="41"/>
    </row>
    <row r="19" ht="21.75" customHeight="1">
      <c r="A19" s="41"/>
      <c r="B19" s="47">
        <v>12.0</v>
      </c>
      <c r="C19" s="48" t="s">
        <v>71</v>
      </c>
      <c r="D19" s="49" t="s">
        <v>7</v>
      </c>
      <c r="E19" s="14" t="s">
        <v>67</v>
      </c>
      <c r="F19" s="14"/>
      <c r="G19" s="50"/>
      <c r="H19" s="41"/>
    </row>
    <row r="20" ht="21.75" customHeight="1">
      <c r="A20" s="41"/>
      <c r="B20" s="42">
        <v>13.0</v>
      </c>
      <c r="C20" s="43" t="s">
        <v>72</v>
      </c>
      <c r="D20" s="44" t="s">
        <v>7</v>
      </c>
      <c r="E20" s="45" t="s">
        <v>67</v>
      </c>
      <c r="F20" s="45"/>
      <c r="G20" s="46"/>
      <c r="H20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20">
    <cfRule type="expression" dxfId="0" priority="1">
      <formula>$D8="Done"</formula>
    </cfRule>
  </conditionalFormatting>
  <conditionalFormatting sqref="C8:G20">
    <cfRule type="expression" dxfId="1" priority="2">
      <formula>$D8="In Progress"</formula>
    </cfRule>
  </conditionalFormatting>
  <conditionalFormatting sqref="C8:G20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20">
      <formula1>"To Do,In Progress,Done,Blocked"</formula1>
    </dataValidation>
    <dataValidation type="list" allowBlank="1" sqref="E8:E20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4AB7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34" t="s">
        <v>73</v>
      </c>
      <c r="C2" s="2"/>
      <c r="D2" s="2"/>
      <c r="E2" s="2"/>
      <c r="F2" s="2"/>
      <c r="G2" s="3"/>
    </row>
    <row r="3" ht="18.0" customHeight="1">
      <c r="B3" s="35" t="s">
        <v>48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37" t="s">
        <v>74</v>
      </c>
      <c r="C5" s="21"/>
      <c r="D5" s="38">
        <f>COUNTIF(D8:D17,"Done")</f>
        <v>10</v>
      </c>
      <c r="E5" s="39"/>
      <c r="F5" s="40">
        <f>IFERROR(D5/10,"0%")</f>
        <v>1</v>
      </c>
      <c r="G5" s="39"/>
    </row>
    <row r="6" ht="7.5" customHeight="1"/>
    <row r="7" ht="19.5" customHeight="1">
      <c r="A7" s="7"/>
      <c r="B7" s="7" t="s">
        <v>51</v>
      </c>
      <c r="C7" s="7" t="s">
        <v>52</v>
      </c>
      <c r="D7" s="7" t="s">
        <v>53</v>
      </c>
      <c r="E7" s="7" t="s">
        <v>54</v>
      </c>
      <c r="F7" s="7" t="s">
        <v>55</v>
      </c>
      <c r="G7" s="7" t="s">
        <v>56</v>
      </c>
    </row>
    <row r="8" ht="21.75" customHeight="1">
      <c r="A8" s="41"/>
      <c r="B8" s="42">
        <v>1.0</v>
      </c>
      <c r="C8" s="43" t="s">
        <v>75</v>
      </c>
      <c r="D8" s="44" t="s">
        <v>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76</v>
      </c>
      <c r="D9" s="49" t="s">
        <v>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77</v>
      </c>
      <c r="D10" s="44" t="s">
        <v>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78</v>
      </c>
      <c r="D11" s="49" t="s">
        <v>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79</v>
      </c>
      <c r="D12" s="44" t="s">
        <v>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80</v>
      </c>
      <c r="D13" s="49" t="s">
        <v>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81</v>
      </c>
      <c r="D14" s="44" t="s">
        <v>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82</v>
      </c>
      <c r="D15" s="49" t="s">
        <v>7</v>
      </c>
      <c r="E15" s="14" t="s">
        <v>67</v>
      </c>
      <c r="F15" s="14"/>
      <c r="G15" s="50"/>
      <c r="H15" s="41"/>
    </row>
    <row r="16" ht="21.75" customHeight="1">
      <c r="A16" s="41"/>
      <c r="B16" s="42">
        <v>9.0</v>
      </c>
      <c r="C16" s="43" t="s">
        <v>83</v>
      </c>
      <c r="D16" s="44" t="s">
        <v>7</v>
      </c>
      <c r="E16" s="45" t="s">
        <v>67</v>
      </c>
      <c r="F16" s="45"/>
      <c r="G16" s="46"/>
      <c r="H16" s="41"/>
    </row>
    <row r="17" ht="21.75" customHeight="1">
      <c r="A17" s="41"/>
      <c r="B17" s="47">
        <v>10.0</v>
      </c>
      <c r="C17" s="48" t="s">
        <v>84</v>
      </c>
      <c r="D17" s="49" t="s">
        <v>7</v>
      </c>
      <c r="E17" s="14" t="s">
        <v>67</v>
      </c>
      <c r="F17" s="14"/>
      <c r="G17" s="50"/>
      <c r="H17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7">
    <cfRule type="expression" dxfId="0" priority="1">
      <formula>$D8="Done"</formula>
    </cfRule>
  </conditionalFormatting>
  <conditionalFormatting sqref="C8:G17">
    <cfRule type="expression" dxfId="1" priority="2">
      <formula>$D8="In Progress"</formula>
    </cfRule>
  </conditionalFormatting>
  <conditionalFormatting sqref="C8:G17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7">
      <formula1>"To Do,In Progress,Done,Blocked"</formula1>
    </dataValidation>
    <dataValidation type="list" allowBlank="1" sqref="E8:E17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4AB7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34" t="s">
        <v>85</v>
      </c>
      <c r="C2" s="2"/>
      <c r="D2" s="2"/>
      <c r="E2" s="2"/>
      <c r="F2" s="2"/>
      <c r="G2" s="3"/>
    </row>
    <row r="3" ht="18.0" customHeight="1">
      <c r="B3" s="35" t="s">
        <v>48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37" t="s">
        <v>86</v>
      </c>
      <c r="C5" s="21"/>
      <c r="D5" s="38">
        <f>COUNTIF(D8:D13,"Done")</f>
        <v>6</v>
      </c>
      <c r="E5" s="39"/>
      <c r="F5" s="40">
        <f>IFERROR(D5/6,"0%")</f>
        <v>1</v>
      </c>
      <c r="G5" s="39"/>
    </row>
    <row r="6" ht="7.5" customHeight="1"/>
    <row r="7" ht="19.5" customHeight="1">
      <c r="A7" s="7"/>
      <c r="B7" s="7" t="s">
        <v>51</v>
      </c>
      <c r="C7" s="7" t="s">
        <v>52</v>
      </c>
      <c r="D7" s="7" t="s">
        <v>53</v>
      </c>
      <c r="E7" s="7" t="s">
        <v>54</v>
      </c>
      <c r="F7" s="7" t="s">
        <v>55</v>
      </c>
      <c r="G7" s="7" t="s">
        <v>56</v>
      </c>
    </row>
    <row r="8" ht="21.75" customHeight="1">
      <c r="A8" s="41"/>
      <c r="B8" s="42">
        <v>1.0</v>
      </c>
      <c r="C8" s="43" t="s">
        <v>87</v>
      </c>
      <c r="D8" s="44" t="s">
        <v>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88</v>
      </c>
      <c r="D9" s="49" t="s">
        <v>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89</v>
      </c>
      <c r="D10" s="44" t="s">
        <v>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90</v>
      </c>
      <c r="D11" s="49" t="s">
        <v>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91</v>
      </c>
      <c r="D12" s="44" t="s">
        <v>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92</v>
      </c>
      <c r="D13" s="49" t="s">
        <v>7</v>
      </c>
      <c r="E13" s="14" t="s">
        <v>62</v>
      </c>
      <c r="F13" s="14"/>
      <c r="G13" s="50"/>
      <c r="H13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3">
    <cfRule type="expression" dxfId="0" priority="1">
      <formula>$D8="Done"</formula>
    </cfRule>
  </conditionalFormatting>
  <conditionalFormatting sqref="C8:G13">
    <cfRule type="expression" dxfId="1" priority="2">
      <formula>$D8="In Progress"</formula>
    </cfRule>
  </conditionalFormatting>
  <conditionalFormatting sqref="C8:G13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3">
      <formula1>"To Do,In Progress,Done,Blocked"</formula1>
    </dataValidation>
    <dataValidation type="list" allowBlank="1" sqref="E8:E13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4AB7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34" t="s">
        <v>93</v>
      </c>
      <c r="C2" s="2"/>
      <c r="D2" s="2"/>
      <c r="E2" s="2"/>
      <c r="F2" s="2"/>
      <c r="G2" s="3"/>
    </row>
    <row r="3" ht="18.0" customHeight="1">
      <c r="B3" s="35" t="s">
        <v>48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37" t="s">
        <v>94</v>
      </c>
      <c r="C5" s="21"/>
      <c r="D5" s="38">
        <f>COUNTIF(D8:D15,"Done")</f>
        <v>2</v>
      </c>
      <c r="E5" s="39"/>
      <c r="F5" s="40">
        <f>IFERROR(D5/8,"0%")</f>
        <v>0.25</v>
      </c>
      <c r="G5" s="39"/>
    </row>
    <row r="6" ht="7.5" customHeight="1"/>
    <row r="7" ht="19.5" customHeight="1">
      <c r="A7" s="7"/>
      <c r="B7" s="7" t="s">
        <v>51</v>
      </c>
      <c r="C7" s="7" t="s">
        <v>52</v>
      </c>
      <c r="D7" s="7" t="s">
        <v>53</v>
      </c>
      <c r="E7" s="7" t="s">
        <v>54</v>
      </c>
      <c r="F7" s="7" t="s">
        <v>55</v>
      </c>
      <c r="G7" s="7" t="s">
        <v>56</v>
      </c>
    </row>
    <row r="8" ht="21.75" customHeight="1">
      <c r="A8" s="41"/>
      <c r="B8" s="42">
        <v>1.0</v>
      </c>
      <c r="C8" s="43" t="s">
        <v>95</v>
      </c>
      <c r="D8" s="44" t="s">
        <v>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96</v>
      </c>
      <c r="D9" s="49" t="s">
        <v>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97</v>
      </c>
      <c r="D10" s="44" t="s">
        <v>38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98</v>
      </c>
      <c r="D11" s="14" t="s">
        <v>37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99</v>
      </c>
      <c r="D12" s="45" t="s">
        <v>37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100</v>
      </c>
      <c r="D13" s="14" t="s">
        <v>37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101</v>
      </c>
      <c r="D14" s="45" t="s">
        <v>37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102</v>
      </c>
      <c r="D15" s="14" t="s">
        <v>37</v>
      </c>
      <c r="E15" s="14" t="s">
        <v>67</v>
      </c>
      <c r="F15" s="14"/>
      <c r="G15" s="50"/>
      <c r="H15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5">
    <cfRule type="expression" dxfId="0" priority="1">
      <formula>$D8="Done"</formula>
    </cfRule>
  </conditionalFormatting>
  <conditionalFormatting sqref="C8:G15">
    <cfRule type="expression" dxfId="1" priority="2">
      <formula>$D8="In Progress"</formula>
    </cfRule>
  </conditionalFormatting>
  <conditionalFormatting sqref="C8:G15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5">
      <formula1>"To Do,In Progress,Done,Blocked"</formula1>
    </dataValidation>
    <dataValidation type="list" allowBlank="1" sqref="E8:E15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4AB7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34" t="s">
        <v>103</v>
      </c>
      <c r="C2" s="2"/>
      <c r="D2" s="2"/>
      <c r="E2" s="2"/>
      <c r="F2" s="2"/>
      <c r="G2" s="3"/>
    </row>
    <row r="3" ht="18.0" customHeight="1">
      <c r="B3" s="35" t="s">
        <v>48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37" t="s">
        <v>94</v>
      </c>
      <c r="C5" s="21"/>
      <c r="D5" s="38">
        <f>COUNTIF(D8:D15,"Done")</f>
        <v>0</v>
      </c>
      <c r="E5" s="39"/>
      <c r="F5" s="40">
        <f>IFERROR(D5/8,"0%")</f>
        <v>0</v>
      </c>
      <c r="G5" s="39"/>
    </row>
    <row r="6" ht="7.5" customHeight="1"/>
    <row r="7" ht="19.5" customHeight="1">
      <c r="A7" s="7"/>
      <c r="B7" s="7" t="s">
        <v>51</v>
      </c>
      <c r="C7" s="7" t="s">
        <v>52</v>
      </c>
      <c r="D7" s="7" t="s">
        <v>53</v>
      </c>
      <c r="E7" s="7" t="s">
        <v>54</v>
      </c>
      <c r="F7" s="7" t="s">
        <v>55</v>
      </c>
      <c r="G7" s="7" t="s">
        <v>56</v>
      </c>
    </row>
    <row r="8" ht="21.75" customHeight="1">
      <c r="A8" s="41"/>
      <c r="B8" s="42">
        <v>1.0</v>
      </c>
      <c r="C8" s="43" t="s">
        <v>104</v>
      </c>
      <c r="D8" s="45" t="s">
        <v>37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105</v>
      </c>
      <c r="D9" s="14" t="s">
        <v>37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106</v>
      </c>
      <c r="D10" s="45" t="s">
        <v>37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107</v>
      </c>
      <c r="D11" s="14" t="s">
        <v>37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108</v>
      </c>
      <c r="D12" s="45" t="s">
        <v>37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109</v>
      </c>
      <c r="D13" s="14" t="s">
        <v>37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110</v>
      </c>
      <c r="D14" s="45" t="s">
        <v>37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111</v>
      </c>
      <c r="D15" s="14" t="s">
        <v>37</v>
      </c>
      <c r="E15" s="14" t="s">
        <v>67</v>
      </c>
      <c r="F15" s="14"/>
      <c r="G15" s="50"/>
      <c r="H15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5">
    <cfRule type="expression" dxfId="0" priority="1">
      <formula>$D8="Done"</formula>
    </cfRule>
  </conditionalFormatting>
  <conditionalFormatting sqref="C8:G15">
    <cfRule type="expression" dxfId="1" priority="2">
      <formula>$D8="In Progress"</formula>
    </cfRule>
  </conditionalFormatting>
  <conditionalFormatting sqref="C8:G15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5">
      <formula1>"To Do,In Progress,Done,Blocked"</formula1>
    </dataValidation>
    <dataValidation type="list" allowBlank="1" sqref="E8:E15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4AB7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34" t="s">
        <v>112</v>
      </c>
      <c r="C2" s="2"/>
      <c r="D2" s="2"/>
      <c r="E2" s="2"/>
      <c r="F2" s="2"/>
      <c r="G2" s="3"/>
    </row>
    <row r="3" ht="18.0" customHeight="1">
      <c r="B3" s="35" t="s">
        <v>48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37" t="s">
        <v>94</v>
      </c>
      <c r="C5" s="21"/>
      <c r="D5" s="38">
        <f>COUNTIF(D8:D15,"Done")</f>
        <v>0</v>
      </c>
      <c r="E5" s="39"/>
      <c r="F5" s="40">
        <f>IFERROR(D5/8,"0%")</f>
        <v>0</v>
      </c>
      <c r="G5" s="39"/>
    </row>
    <row r="6" ht="7.5" customHeight="1"/>
    <row r="7" ht="19.5" customHeight="1">
      <c r="A7" s="7"/>
      <c r="B7" s="7" t="s">
        <v>51</v>
      </c>
      <c r="C7" s="7" t="s">
        <v>52</v>
      </c>
      <c r="D7" s="7" t="s">
        <v>53</v>
      </c>
      <c r="E7" s="7" t="s">
        <v>54</v>
      </c>
      <c r="F7" s="7" t="s">
        <v>55</v>
      </c>
      <c r="G7" s="7" t="s">
        <v>56</v>
      </c>
    </row>
    <row r="8" ht="21.75" customHeight="1">
      <c r="A8" s="41"/>
      <c r="B8" s="42">
        <v>1.0</v>
      </c>
      <c r="C8" s="43" t="s">
        <v>113</v>
      </c>
      <c r="D8" s="45" t="s">
        <v>37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114</v>
      </c>
      <c r="D9" s="14" t="s">
        <v>37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115</v>
      </c>
      <c r="D10" s="45" t="s">
        <v>37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116</v>
      </c>
      <c r="D11" s="14" t="s">
        <v>37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117</v>
      </c>
      <c r="D12" s="45" t="s">
        <v>37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118</v>
      </c>
      <c r="D13" s="14" t="s">
        <v>37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119</v>
      </c>
      <c r="D14" s="45" t="s">
        <v>37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120</v>
      </c>
      <c r="D15" s="14" t="s">
        <v>37</v>
      </c>
      <c r="E15" s="14" t="s">
        <v>67</v>
      </c>
      <c r="F15" s="14"/>
      <c r="G15" s="50"/>
      <c r="H15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5">
    <cfRule type="expression" dxfId="0" priority="1">
      <formula>$D8="Done"</formula>
    </cfRule>
  </conditionalFormatting>
  <conditionalFormatting sqref="C8:G15">
    <cfRule type="expression" dxfId="1" priority="2">
      <formula>$D8="In Progress"</formula>
    </cfRule>
  </conditionalFormatting>
  <conditionalFormatting sqref="C8:G15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5">
      <formula1>"To Do,In Progress,Done,Blocked"</formula1>
    </dataValidation>
    <dataValidation type="list" allowBlank="1" sqref="E8:E15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34AB7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34" t="s">
        <v>121</v>
      </c>
      <c r="C2" s="2"/>
      <c r="D2" s="2"/>
      <c r="E2" s="2"/>
      <c r="F2" s="2"/>
      <c r="G2" s="3"/>
    </row>
    <row r="3" ht="18.0" customHeight="1">
      <c r="B3" s="35" t="s">
        <v>48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37" t="s">
        <v>94</v>
      </c>
      <c r="C5" s="21"/>
      <c r="D5" s="38">
        <f>COUNTIF(D8:D15,"Done")</f>
        <v>0</v>
      </c>
      <c r="E5" s="39"/>
      <c r="F5" s="40">
        <f>IFERROR(D5/8,"0%")</f>
        <v>0</v>
      </c>
      <c r="G5" s="39"/>
    </row>
    <row r="6" ht="7.5" customHeight="1"/>
    <row r="7" ht="19.5" customHeight="1">
      <c r="A7" s="7"/>
      <c r="B7" s="7" t="s">
        <v>51</v>
      </c>
      <c r="C7" s="7" t="s">
        <v>52</v>
      </c>
      <c r="D7" s="7" t="s">
        <v>53</v>
      </c>
      <c r="E7" s="7" t="s">
        <v>54</v>
      </c>
      <c r="F7" s="7" t="s">
        <v>55</v>
      </c>
      <c r="G7" s="7" t="s">
        <v>56</v>
      </c>
    </row>
    <row r="8" ht="21.75" customHeight="1">
      <c r="A8" s="41"/>
      <c r="B8" s="42">
        <v>1.0</v>
      </c>
      <c r="C8" s="43" t="s">
        <v>122</v>
      </c>
      <c r="D8" s="45" t="s">
        <v>37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123</v>
      </c>
      <c r="D9" s="14" t="s">
        <v>37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124</v>
      </c>
      <c r="D10" s="45" t="s">
        <v>37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125</v>
      </c>
      <c r="D11" s="14" t="s">
        <v>37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126</v>
      </c>
      <c r="D12" s="45" t="s">
        <v>37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127</v>
      </c>
      <c r="D13" s="14" t="s">
        <v>37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128</v>
      </c>
      <c r="D14" s="45" t="s">
        <v>37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129</v>
      </c>
      <c r="D15" s="14" t="s">
        <v>37</v>
      </c>
      <c r="E15" s="14" t="s">
        <v>67</v>
      </c>
      <c r="F15" s="14"/>
      <c r="G15" s="50"/>
      <c r="H15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5">
    <cfRule type="expression" dxfId="0" priority="1">
      <formula>$D8="Done"</formula>
    </cfRule>
  </conditionalFormatting>
  <conditionalFormatting sqref="C8:G15">
    <cfRule type="expression" dxfId="1" priority="2">
      <formula>$D8="In Progress"</formula>
    </cfRule>
  </conditionalFormatting>
  <conditionalFormatting sqref="C8:G15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5">
      <formula1>"To Do,In Progress,Done,Blocked"</formula1>
    </dataValidation>
    <dataValidation type="list" allowBlank="1" sqref="E8:E15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F6E56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51" t="s">
        <v>130</v>
      </c>
      <c r="C2" s="2"/>
      <c r="D2" s="2"/>
      <c r="E2" s="2"/>
      <c r="F2" s="2"/>
      <c r="G2" s="3"/>
    </row>
    <row r="3" ht="18.0" customHeight="1">
      <c r="B3" s="35" t="s">
        <v>131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52" t="s">
        <v>132</v>
      </c>
      <c r="C5" s="21"/>
      <c r="D5" s="38">
        <f>COUNTIF(D8:D16,"Done")</f>
        <v>0</v>
      </c>
      <c r="E5" s="39"/>
      <c r="F5" s="40">
        <f>IFERROR(D5/9,"0%")</f>
        <v>0</v>
      </c>
      <c r="G5" s="39"/>
    </row>
    <row r="6" ht="7.5" customHeight="1"/>
    <row r="7" ht="19.5" customHeight="1">
      <c r="A7" s="17"/>
      <c r="B7" s="17" t="s">
        <v>51</v>
      </c>
      <c r="C7" s="17" t="s">
        <v>52</v>
      </c>
      <c r="D7" s="17" t="s">
        <v>53</v>
      </c>
      <c r="E7" s="17" t="s">
        <v>54</v>
      </c>
      <c r="F7" s="17" t="s">
        <v>55</v>
      </c>
      <c r="G7" s="17" t="s">
        <v>56</v>
      </c>
    </row>
    <row r="8" ht="21.75" customHeight="1">
      <c r="A8" s="41"/>
      <c r="B8" s="42">
        <v>1.0</v>
      </c>
      <c r="C8" s="43" t="s">
        <v>133</v>
      </c>
      <c r="D8" s="45" t="s">
        <v>37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134</v>
      </c>
      <c r="D9" s="14" t="s">
        <v>37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135</v>
      </c>
      <c r="D10" s="45" t="s">
        <v>37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136</v>
      </c>
      <c r="D11" s="14" t="s">
        <v>37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137</v>
      </c>
      <c r="D12" s="45" t="s">
        <v>37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138</v>
      </c>
      <c r="D13" s="14" t="s">
        <v>37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139</v>
      </c>
      <c r="D14" s="45" t="s">
        <v>37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140</v>
      </c>
      <c r="D15" s="14" t="s">
        <v>37</v>
      </c>
      <c r="E15" s="14" t="s">
        <v>67</v>
      </c>
      <c r="F15" s="14"/>
      <c r="G15" s="50"/>
      <c r="H15" s="41"/>
    </row>
    <row r="16" ht="21.75" customHeight="1">
      <c r="A16" s="41"/>
      <c r="B16" s="42">
        <v>9.0</v>
      </c>
      <c r="C16" s="43" t="s">
        <v>141</v>
      </c>
      <c r="D16" s="45" t="s">
        <v>37</v>
      </c>
      <c r="E16" s="45" t="s">
        <v>67</v>
      </c>
      <c r="F16" s="45"/>
      <c r="G16" s="46"/>
      <c r="H16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6">
    <cfRule type="expression" dxfId="0" priority="1">
      <formula>$D8="Done"</formula>
    </cfRule>
  </conditionalFormatting>
  <conditionalFormatting sqref="C8:G16">
    <cfRule type="expression" dxfId="1" priority="2">
      <formula>$D8="In Progress"</formula>
    </cfRule>
  </conditionalFormatting>
  <conditionalFormatting sqref="C8:G16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6">
      <formula1>"To Do,In Progress,Done,Blocked"</formula1>
    </dataValidation>
    <dataValidation type="list" allowBlank="1" sqref="E8:E16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F6E56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51" t="s">
        <v>142</v>
      </c>
      <c r="C2" s="2"/>
      <c r="D2" s="2"/>
      <c r="E2" s="2"/>
      <c r="F2" s="2"/>
      <c r="G2" s="3"/>
    </row>
    <row r="3" ht="18.0" customHeight="1">
      <c r="B3" s="35" t="s">
        <v>131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52" t="s">
        <v>74</v>
      </c>
      <c r="C5" s="21"/>
      <c r="D5" s="38">
        <f>COUNTIF(D8:D17,"Done")</f>
        <v>0</v>
      </c>
      <c r="E5" s="39"/>
      <c r="F5" s="40">
        <f>IFERROR(D5/10,"0%")</f>
        <v>0</v>
      </c>
      <c r="G5" s="39"/>
    </row>
    <row r="6" ht="7.5" customHeight="1"/>
    <row r="7" ht="19.5" customHeight="1">
      <c r="A7" s="17"/>
      <c r="B7" s="17" t="s">
        <v>51</v>
      </c>
      <c r="C7" s="17" t="s">
        <v>52</v>
      </c>
      <c r="D7" s="17" t="s">
        <v>53</v>
      </c>
      <c r="E7" s="17" t="s">
        <v>54</v>
      </c>
      <c r="F7" s="17" t="s">
        <v>55</v>
      </c>
      <c r="G7" s="17" t="s">
        <v>56</v>
      </c>
    </row>
    <row r="8" ht="21.75" customHeight="1">
      <c r="A8" s="41"/>
      <c r="B8" s="42">
        <v>1.0</v>
      </c>
      <c r="C8" s="43" t="s">
        <v>143</v>
      </c>
      <c r="D8" s="45" t="s">
        <v>37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144</v>
      </c>
      <c r="D9" s="14" t="s">
        <v>37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145</v>
      </c>
      <c r="D10" s="45" t="s">
        <v>37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146</v>
      </c>
      <c r="D11" s="14" t="s">
        <v>37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147</v>
      </c>
      <c r="D12" s="45" t="s">
        <v>37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148</v>
      </c>
      <c r="D13" s="14" t="s">
        <v>37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149</v>
      </c>
      <c r="D14" s="45" t="s">
        <v>37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150</v>
      </c>
      <c r="D15" s="14" t="s">
        <v>37</v>
      </c>
      <c r="E15" s="14" t="s">
        <v>67</v>
      </c>
      <c r="F15" s="14"/>
      <c r="G15" s="50"/>
      <c r="H15" s="41"/>
    </row>
    <row r="16" ht="21.75" customHeight="1">
      <c r="A16" s="41"/>
      <c r="B16" s="42">
        <v>9.0</v>
      </c>
      <c r="C16" s="43" t="s">
        <v>151</v>
      </c>
      <c r="D16" s="45" t="s">
        <v>37</v>
      </c>
      <c r="E16" s="45" t="s">
        <v>67</v>
      </c>
      <c r="F16" s="45"/>
      <c r="G16" s="46"/>
      <c r="H16" s="41"/>
    </row>
    <row r="17" ht="21.75" customHeight="1">
      <c r="A17" s="41"/>
      <c r="B17" s="47">
        <v>10.0</v>
      </c>
      <c r="C17" s="48" t="s">
        <v>152</v>
      </c>
      <c r="D17" s="14" t="s">
        <v>37</v>
      </c>
      <c r="E17" s="14" t="s">
        <v>67</v>
      </c>
      <c r="F17" s="14"/>
      <c r="G17" s="50"/>
      <c r="H17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7">
    <cfRule type="expression" dxfId="0" priority="1">
      <formula>$D8="Done"</formula>
    </cfRule>
  </conditionalFormatting>
  <conditionalFormatting sqref="C8:G17">
    <cfRule type="expression" dxfId="1" priority="2">
      <formula>$D8="In Progress"</formula>
    </cfRule>
  </conditionalFormatting>
  <conditionalFormatting sqref="C8:G17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7">
      <formula1>"To Do,In Progress,Done,Blocked"</formula1>
    </dataValidation>
    <dataValidation type="list" allowBlank="1" sqref="E8:E17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F6E56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51" t="s">
        <v>153</v>
      </c>
      <c r="C2" s="2"/>
      <c r="D2" s="2"/>
      <c r="E2" s="2"/>
      <c r="F2" s="2"/>
      <c r="G2" s="3"/>
    </row>
    <row r="3" ht="18.0" customHeight="1">
      <c r="B3" s="35" t="s">
        <v>131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52" t="s">
        <v>132</v>
      </c>
      <c r="C5" s="21"/>
      <c r="D5" s="38">
        <f>COUNTIF(D8:D16,"Done")</f>
        <v>0</v>
      </c>
      <c r="E5" s="39"/>
      <c r="F5" s="40">
        <f>IFERROR(D5/9,"0%")</f>
        <v>0</v>
      </c>
      <c r="G5" s="39"/>
    </row>
    <row r="6" ht="7.5" customHeight="1"/>
    <row r="7" ht="19.5" customHeight="1">
      <c r="A7" s="17"/>
      <c r="B7" s="17" t="s">
        <v>51</v>
      </c>
      <c r="C7" s="17" t="s">
        <v>52</v>
      </c>
      <c r="D7" s="17" t="s">
        <v>53</v>
      </c>
      <c r="E7" s="17" t="s">
        <v>54</v>
      </c>
      <c r="F7" s="17" t="s">
        <v>55</v>
      </c>
      <c r="G7" s="17" t="s">
        <v>56</v>
      </c>
    </row>
    <row r="8" ht="21.75" customHeight="1">
      <c r="A8" s="41"/>
      <c r="B8" s="42">
        <v>1.0</v>
      </c>
      <c r="C8" s="43" t="s">
        <v>154</v>
      </c>
      <c r="D8" s="45" t="s">
        <v>37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155</v>
      </c>
      <c r="D9" s="14" t="s">
        <v>37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156</v>
      </c>
      <c r="D10" s="45" t="s">
        <v>37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157</v>
      </c>
      <c r="D11" s="14" t="s">
        <v>37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158</v>
      </c>
      <c r="D12" s="45" t="s">
        <v>37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159</v>
      </c>
      <c r="D13" s="14" t="s">
        <v>37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160</v>
      </c>
      <c r="D14" s="45" t="s">
        <v>37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161</v>
      </c>
      <c r="D15" s="14" t="s">
        <v>37</v>
      </c>
      <c r="E15" s="14" t="s">
        <v>67</v>
      </c>
      <c r="F15" s="14"/>
      <c r="G15" s="50"/>
      <c r="H15" s="41"/>
    </row>
    <row r="16" ht="21.75" customHeight="1">
      <c r="A16" s="41"/>
      <c r="B16" s="42">
        <v>9.0</v>
      </c>
      <c r="C16" s="43" t="s">
        <v>162</v>
      </c>
      <c r="D16" s="45" t="s">
        <v>37</v>
      </c>
      <c r="E16" s="45" t="s">
        <v>67</v>
      </c>
      <c r="F16" s="45"/>
      <c r="G16" s="46"/>
      <c r="H16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6">
    <cfRule type="expression" dxfId="0" priority="1">
      <formula>$D8="Done"</formula>
    </cfRule>
  </conditionalFormatting>
  <conditionalFormatting sqref="C8:G16">
    <cfRule type="expression" dxfId="1" priority="2">
      <formula>$D8="In Progress"</formula>
    </cfRule>
  </conditionalFormatting>
  <conditionalFormatting sqref="C8:G16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6">
      <formula1>"To Do,In Progress,Done,Blocked"</formula1>
    </dataValidation>
    <dataValidation type="list" allowBlank="1" sqref="E8:E16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F6E56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51" t="s">
        <v>163</v>
      </c>
      <c r="C2" s="2"/>
      <c r="D2" s="2"/>
      <c r="E2" s="2"/>
      <c r="F2" s="2"/>
      <c r="G2" s="3"/>
    </row>
    <row r="3" ht="18.0" customHeight="1">
      <c r="B3" s="35" t="s">
        <v>131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52" t="s">
        <v>132</v>
      </c>
      <c r="C5" s="21"/>
      <c r="D5" s="38">
        <f>COUNTIF(D8:D16,"Done")</f>
        <v>0</v>
      </c>
      <c r="E5" s="39"/>
      <c r="F5" s="40">
        <f>IFERROR(D5/9,"0%")</f>
        <v>0</v>
      </c>
      <c r="G5" s="39"/>
    </row>
    <row r="6" ht="7.5" customHeight="1"/>
    <row r="7" ht="19.5" customHeight="1">
      <c r="A7" s="17"/>
      <c r="B7" s="17" t="s">
        <v>51</v>
      </c>
      <c r="C7" s="17" t="s">
        <v>52</v>
      </c>
      <c r="D7" s="17" t="s">
        <v>53</v>
      </c>
      <c r="E7" s="17" t="s">
        <v>54</v>
      </c>
      <c r="F7" s="17" t="s">
        <v>55</v>
      </c>
      <c r="G7" s="17" t="s">
        <v>56</v>
      </c>
    </row>
    <row r="8" ht="21.75" customHeight="1">
      <c r="A8" s="41"/>
      <c r="B8" s="42">
        <v>1.0</v>
      </c>
      <c r="C8" s="43" t="s">
        <v>164</v>
      </c>
      <c r="D8" s="45" t="s">
        <v>37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165</v>
      </c>
      <c r="D9" s="14" t="s">
        <v>37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166</v>
      </c>
      <c r="D10" s="45" t="s">
        <v>37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167</v>
      </c>
      <c r="D11" s="14" t="s">
        <v>37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168</v>
      </c>
      <c r="D12" s="45" t="s">
        <v>37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169</v>
      </c>
      <c r="D13" s="14" t="s">
        <v>37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170</v>
      </c>
      <c r="D14" s="45" t="s">
        <v>37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171</v>
      </c>
      <c r="D15" s="14" t="s">
        <v>37</v>
      </c>
      <c r="E15" s="14" t="s">
        <v>67</v>
      </c>
      <c r="F15" s="14"/>
      <c r="G15" s="50"/>
      <c r="H15" s="41"/>
    </row>
    <row r="16" ht="21.75" customHeight="1">
      <c r="A16" s="41"/>
      <c r="B16" s="42">
        <v>9.0</v>
      </c>
      <c r="C16" s="43" t="s">
        <v>172</v>
      </c>
      <c r="D16" s="45" t="s">
        <v>37</v>
      </c>
      <c r="E16" s="45" t="s">
        <v>67</v>
      </c>
      <c r="F16" s="45"/>
      <c r="G16" s="46"/>
      <c r="H16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6">
    <cfRule type="expression" dxfId="0" priority="1">
      <formula>$D8="Done"</formula>
    </cfRule>
  </conditionalFormatting>
  <conditionalFormatting sqref="C8:G16">
    <cfRule type="expression" dxfId="1" priority="2">
      <formula>$D8="In Progress"</formula>
    </cfRule>
  </conditionalFormatting>
  <conditionalFormatting sqref="C8:G16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6">
      <formula1>"To Do,In Progress,Done,Blocked"</formula1>
    </dataValidation>
    <dataValidation type="list" allowBlank="1" sqref="E8:E16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F6E56"/>
    <pageSetUpPr fitToPage="1"/>
  </sheetPr>
  <sheetViews>
    <sheetView showGridLines="0" workbookViewId="0">
      <pane xSplit="2.0" ySplit="7.0" topLeftCell="C8" activePane="bottomRight" state="frozen"/>
      <selection activeCell="C1" sqref="C1" pane="topRight"/>
      <selection activeCell="A8" sqref="A8" pane="bottomLeft"/>
      <selection activeCell="C8" sqref="C8" pane="bottomRight"/>
    </sheetView>
  </sheetViews>
  <sheetFormatPr customHeight="1" defaultColWidth="14.43" defaultRowHeight="15.0"/>
  <cols>
    <col customWidth="1" min="1" max="1" width="4.0"/>
    <col customWidth="1" min="2" max="2" width="5.0"/>
    <col customWidth="1" min="3" max="3" width="56.0"/>
    <col customWidth="1" min="4" max="4" width="18.0"/>
    <col customWidth="1" min="5" max="5" width="16.0"/>
    <col customWidth="1" min="6" max="6" width="18.0"/>
    <col customWidth="1" min="7" max="7" width="16.0"/>
    <col customWidth="1" min="8" max="8" width="4.0"/>
    <col customWidth="1" min="9" max="26" width="8.71"/>
  </cols>
  <sheetData>
    <row r="1" ht="7.5" customHeight="1"/>
    <row r="2" ht="36.0" customHeight="1">
      <c r="B2" s="51" t="s">
        <v>173</v>
      </c>
      <c r="C2" s="2"/>
      <c r="D2" s="2"/>
      <c r="E2" s="2"/>
      <c r="F2" s="2"/>
      <c r="G2" s="3"/>
    </row>
    <row r="3" ht="18.0" customHeight="1">
      <c r="B3" s="35" t="s">
        <v>131</v>
      </c>
      <c r="C3" s="2"/>
      <c r="D3" s="2"/>
      <c r="E3" s="2"/>
      <c r="F3" s="2"/>
      <c r="G3" s="3"/>
    </row>
    <row r="4" ht="7.5" customHeight="1">
      <c r="B4" s="36" t="s">
        <v>6</v>
      </c>
      <c r="D4" s="36" t="s">
        <v>49</v>
      </c>
      <c r="F4" s="36" t="s">
        <v>8</v>
      </c>
    </row>
    <row r="5" ht="31.5" customHeight="1">
      <c r="B5" s="52" t="s">
        <v>74</v>
      </c>
      <c r="C5" s="21"/>
      <c r="D5" s="38">
        <f>COUNTIF(D8:D17,"Done")</f>
        <v>0</v>
      </c>
      <c r="E5" s="39"/>
      <c r="F5" s="40">
        <f>IFERROR(D5/10,"0%")</f>
        <v>0</v>
      </c>
      <c r="G5" s="39"/>
    </row>
    <row r="6" ht="7.5" customHeight="1"/>
    <row r="7" ht="19.5" customHeight="1">
      <c r="A7" s="17"/>
      <c r="B7" s="17" t="s">
        <v>51</v>
      </c>
      <c r="C7" s="17" t="s">
        <v>52</v>
      </c>
      <c r="D7" s="17" t="s">
        <v>53</v>
      </c>
      <c r="E7" s="17" t="s">
        <v>54</v>
      </c>
      <c r="F7" s="17" t="s">
        <v>55</v>
      </c>
      <c r="G7" s="17" t="s">
        <v>56</v>
      </c>
    </row>
    <row r="8" ht="21.75" customHeight="1">
      <c r="A8" s="41"/>
      <c r="B8" s="42">
        <v>1.0</v>
      </c>
      <c r="C8" s="43" t="s">
        <v>174</v>
      </c>
      <c r="D8" s="45" t="s">
        <v>37</v>
      </c>
      <c r="E8" s="45" t="s">
        <v>58</v>
      </c>
      <c r="F8" s="45"/>
      <c r="G8" s="46"/>
      <c r="H8" s="41"/>
    </row>
    <row r="9" ht="21.75" customHeight="1">
      <c r="A9" s="41"/>
      <c r="B9" s="47">
        <v>2.0</v>
      </c>
      <c r="C9" s="48" t="s">
        <v>175</v>
      </c>
      <c r="D9" s="14" t="s">
        <v>37</v>
      </c>
      <c r="E9" s="14" t="s">
        <v>58</v>
      </c>
      <c r="F9" s="14"/>
      <c r="G9" s="50"/>
      <c r="H9" s="41"/>
    </row>
    <row r="10" ht="21.75" customHeight="1">
      <c r="A10" s="41"/>
      <c r="B10" s="42">
        <v>3.0</v>
      </c>
      <c r="C10" s="43" t="s">
        <v>176</v>
      </c>
      <c r="D10" s="45" t="s">
        <v>37</v>
      </c>
      <c r="E10" s="45" t="s">
        <v>58</v>
      </c>
      <c r="F10" s="45"/>
      <c r="G10" s="46"/>
      <c r="H10" s="41"/>
    </row>
    <row r="11" ht="21.75" customHeight="1">
      <c r="A11" s="41"/>
      <c r="B11" s="47">
        <v>4.0</v>
      </c>
      <c r="C11" s="48" t="s">
        <v>177</v>
      </c>
      <c r="D11" s="14" t="s">
        <v>37</v>
      </c>
      <c r="E11" s="14" t="s">
        <v>62</v>
      </c>
      <c r="F11" s="14"/>
      <c r="G11" s="50"/>
      <c r="H11" s="41"/>
    </row>
    <row r="12" ht="21.75" customHeight="1">
      <c r="A12" s="41"/>
      <c r="B12" s="42">
        <v>5.0</v>
      </c>
      <c r="C12" s="43" t="s">
        <v>178</v>
      </c>
      <c r="D12" s="45" t="s">
        <v>37</v>
      </c>
      <c r="E12" s="45" t="s">
        <v>62</v>
      </c>
      <c r="F12" s="45"/>
      <c r="G12" s="46"/>
      <c r="H12" s="41"/>
    </row>
    <row r="13" ht="21.75" customHeight="1">
      <c r="A13" s="41"/>
      <c r="B13" s="47">
        <v>6.0</v>
      </c>
      <c r="C13" s="48" t="s">
        <v>179</v>
      </c>
      <c r="D13" s="14" t="s">
        <v>37</v>
      </c>
      <c r="E13" s="14" t="s">
        <v>62</v>
      </c>
      <c r="F13" s="14"/>
      <c r="G13" s="50"/>
      <c r="H13" s="41"/>
    </row>
    <row r="14" ht="21.75" customHeight="1">
      <c r="A14" s="41"/>
      <c r="B14" s="42">
        <v>7.0</v>
      </c>
      <c r="C14" s="43" t="s">
        <v>180</v>
      </c>
      <c r="D14" s="45" t="s">
        <v>37</v>
      </c>
      <c r="E14" s="45" t="s">
        <v>62</v>
      </c>
      <c r="F14" s="45"/>
      <c r="G14" s="46"/>
      <c r="H14" s="41"/>
    </row>
    <row r="15" ht="21.75" customHeight="1">
      <c r="A15" s="41"/>
      <c r="B15" s="47">
        <v>8.0</v>
      </c>
      <c r="C15" s="48" t="s">
        <v>181</v>
      </c>
      <c r="D15" s="14" t="s">
        <v>37</v>
      </c>
      <c r="E15" s="14" t="s">
        <v>67</v>
      </c>
      <c r="F15" s="14"/>
      <c r="G15" s="50"/>
      <c r="H15" s="41"/>
    </row>
    <row r="16" ht="21.75" customHeight="1">
      <c r="A16" s="41"/>
      <c r="B16" s="42">
        <v>9.0</v>
      </c>
      <c r="C16" s="43" t="s">
        <v>182</v>
      </c>
      <c r="D16" s="45" t="s">
        <v>37</v>
      </c>
      <c r="E16" s="45" t="s">
        <v>67</v>
      </c>
      <c r="F16" s="45"/>
      <c r="G16" s="46"/>
      <c r="H16" s="41"/>
    </row>
    <row r="17" ht="21.75" customHeight="1">
      <c r="A17" s="41"/>
      <c r="B17" s="47">
        <v>10.0</v>
      </c>
      <c r="C17" s="48" t="s">
        <v>183</v>
      </c>
      <c r="D17" s="14" t="s">
        <v>37</v>
      </c>
      <c r="E17" s="14" t="s">
        <v>67</v>
      </c>
      <c r="F17" s="14"/>
      <c r="G17" s="50"/>
      <c r="H17" s="41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G2"/>
    <mergeCell ref="B3:G3"/>
    <mergeCell ref="B5:C5"/>
    <mergeCell ref="D5:E5"/>
    <mergeCell ref="F5:G5"/>
  </mergeCells>
  <conditionalFormatting sqref="C8:G17">
    <cfRule type="expression" dxfId="0" priority="1">
      <formula>$D8="Done"</formula>
    </cfRule>
  </conditionalFormatting>
  <conditionalFormatting sqref="C8:G17">
    <cfRule type="expression" dxfId="1" priority="2">
      <formula>$D8="In Progress"</formula>
    </cfRule>
  </conditionalFormatting>
  <conditionalFormatting sqref="C8:G17">
    <cfRule type="expression" dxfId="2" priority="3">
      <formula>$D8="Blocked"</formula>
    </cfRule>
  </conditionalFormatting>
  <dataValidations>
    <dataValidation type="list" allowBlank="1" showInputMessage="1" showErrorMessage="1" prompt="Invalid - Please select: To Do, In Progress, Done, or Blocked" sqref="D8:D17">
      <formula1>"To Do,In Progress,Done,Blocked"</formula1>
    </dataValidation>
    <dataValidation type="list" allowBlank="1" sqref="E8:E17">
      <formula1>"High,Medium,Low"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2026-05-03T09:24:51Z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