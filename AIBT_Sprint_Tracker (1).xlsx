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S1-Auth" sheetId="2" state="visible" r:id="rId2"/>
    <sheet name="S2-BugCRUD" sheetId="3" state="visible" r:id="rId3"/>
    <sheet name="S3-UserMgmt" sheetId="4" state="visible" r:id="rId4"/>
    <sheet name="S4-AI" sheetId="5" state="visible" r:id="rId5"/>
    <sheet name="S5-Playwright" sheetId="6" state="visible" r:id="rId6"/>
    <sheet name="S6-Email" sheetId="7" state="visible" r:id="rId7"/>
    <sheet name="S7-Hardening" sheetId="8" state="visible" r:id="rId8"/>
    <sheet name="S8-FE-Auth" sheetId="9" state="visible" r:id="rId9"/>
    <sheet name="S9-Admin" sheetId="10" state="visible" r:id="rId10"/>
    <sheet name="S10-DevDash" sheetId="11" state="visible" r:id="rId11"/>
    <sheet name="S11-Tester" sheetId="12" state="visible" r:id="rId12"/>
    <sheet name="S12-Polis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theme="1"/>
      <sz val="11"/>
      <scheme val="minor"/>
    </font>
    <font>
      <name val="Arial"/>
      <b val="1"/>
      <color rgb="FFFFFFFF"/>
      <sz val="18"/>
    </font>
    <font/>
    <font>
      <name val="Arial"/>
      <color rgb="FFAFA9EC"/>
      <sz val="9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rgb="FF534AB7"/>
      <sz val="9"/>
      <u val="single"/>
    </font>
    <font>
      <name val="Arial"/>
      <color rgb="FFFFFFFF"/>
      <sz val="9"/>
    </font>
    <font>
      <name val="Arial"/>
      <color rgb="FF2C2C2A"/>
      <sz val="9"/>
    </font>
    <font>
      <name val="Arial"/>
      <color rgb="FF3B6D11"/>
      <sz val="9"/>
    </font>
    <font>
      <name val="Arial"/>
      <color rgb="FF534AB7"/>
      <sz val="9"/>
    </font>
    <font>
      <name val="Arial"/>
      <color rgb="FF534AB7"/>
      <sz val="9"/>
      <u val="single"/>
    </font>
    <font>
      <name val="Arial"/>
      <b val="1"/>
      <color rgb="FF2C2C2A"/>
      <sz val="10"/>
    </font>
    <font>
      <name val="Arial"/>
      <b val="1"/>
      <color rgb="FF3B6D11"/>
      <sz val="10"/>
    </font>
    <font>
      <name val="Arial"/>
      <b val="1"/>
      <color rgb="FF534AB7"/>
      <sz val="10"/>
    </font>
    <font>
      <name val="Arial"/>
      <b val="1"/>
      <color rgb="FF5F5E5A"/>
      <sz val="9"/>
    </font>
    <font>
      <name val="Arial"/>
      <b val="1"/>
      <color rgb="FF854F0B"/>
      <sz val="9"/>
    </font>
    <font>
      <name val="Arial"/>
      <b val="1"/>
      <color rgb="FF3B6D11"/>
      <sz val="9"/>
    </font>
    <font>
      <name val="Arial"/>
      <b val="1"/>
      <color rgb="FFA32D2D"/>
      <sz val="9"/>
    </font>
    <font>
      <name val="Arial"/>
      <i val="1"/>
      <color rgb="FF5F5E5A"/>
      <sz val="9"/>
    </font>
    <font>
      <name val="Arial"/>
      <color rgb="FF5F5E5A"/>
      <sz val="9"/>
    </font>
    <font>
      <name val="Arial"/>
      <b val="1"/>
      <color rgb="FFFFFFFF"/>
      <sz val="16"/>
    </font>
    <font>
      <name val="Arial"/>
      <i val="1"/>
      <color rgb="FF888780"/>
      <sz val="8"/>
    </font>
    <font>
      <name val="Arial"/>
      <color rgb="FF888780"/>
      <sz val="8"/>
    </font>
    <font>
      <name val="Arial"/>
      <b val="1"/>
      <color rgb="FF534AB7"/>
      <sz val="11"/>
    </font>
    <font>
      <name val="Arial"/>
      <b val="1"/>
      <color rgb="FF3B6D11"/>
      <sz val="11"/>
    </font>
    <font>
      <name val="Calibri"/>
      <color theme="1"/>
      <sz val="11"/>
    </font>
    <font>
      <name val="Arial"/>
      <color rgb="FF888780"/>
      <sz val="9"/>
    </font>
    <font>
      <name val="Arial"/>
      <i val="1"/>
      <color rgb="FF888780"/>
      <sz val="9"/>
    </font>
    <font>
      <name val="Arial"/>
      <b val="1"/>
      <color rgb="FF0F6E56"/>
      <sz val="11"/>
    </font>
  </fonts>
  <fills count="14">
    <fill>
      <patternFill/>
    </fill>
    <fill>
      <patternFill patternType="lightGray"/>
    </fill>
    <fill>
      <patternFill patternType="solid">
        <fgColor rgb="FF534AB7"/>
        <bgColor rgb="FF534AB7"/>
      </patternFill>
    </fill>
    <fill>
      <patternFill patternType="solid">
        <fgColor rgb="FF3C3489"/>
        <bgColor rgb="FF3C3489"/>
      </patternFill>
    </fill>
    <fill>
      <patternFill patternType="solid">
        <fgColor rgb="FF7F77DD"/>
        <bgColor rgb="FF7F77DD"/>
      </patternFill>
    </fill>
    <fill>
      <patternFill patternType="solid">
        <fgColor rgb="FFFFFFFF"/>
        <bgColor rgb="FFFFFFFF"/>
      </patternFill>
    </fill>
    <fill>
      <patternFill patternType="solid">
        <fgColor rgb="FFF7F6F2"/>
        <bgColor rgb="FFF7F6F2"/>
      </patternFill>
    </fill>
    <fill>
      <patternFill patternType="solid">
        <fgColor rgb="FF0F6E56"/>
        <bgColor rgb="FF0F6E56"/>
      </patternFill>
    </fill>
    <fill>
      <patternFill patternType="solid">
        <fgColor rgb="FFEEEDFE"/>
        <bgColor rgb="FFEEEDFE"/>
      </patternFill>
    </fill>
    <fill>
      <patternFill patternType="solid">
        <fgColor rgb="FFEAF3DE"/>
        <bgColor rgb="FFEAF3DE"/>
      </patternFill>
    </fill>
    <fill>
      <patternFill patternType="solid">
        <fgColor rgb="FFF1EFE8"/>
        <bgColor rgb="FFF1EFE8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E1F5EE"/>
        <bgColor rgb="FFE1F5EE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/>
      <top style="thin">
        <color rgb="FFD3D1C7"/>
      </top>
      <bottom style="thin">
        <color rgb="FFD3D1C7"/>
      </bottom>
    </border>
    <border>
      <right style="thin">
        <color rgb="FFD3D1C7"/>
      </right>
      <top style="thin">
        <color rgb="FFD3D1C7"/>
      </top>
      <bottom style="thin">
        <color rgb="FFD3D1C7"/>
      </bottom>
    </border>
    <border>
      <left/>
      <right/>
      <top/>
      <bottom/>
    </border>
    <border>
      <left style="thin">
        <color rgb="FFD3D1C7"/>
      </left>
      <right/>
      <top style="thin">
        <color rgb="FFD3D1C7"/>
      </top>
      <bottom style="thin">
        <color rgb="FFD3D1C7"/>
      </bottom>
    </border>
    <border>
      <top style="thin">
        <color rgb="FFD3D1C7"/>
      </top>
    </border>
    <border>
      <right style="thin">
        <color rgb="FFD3D1C7"/>
      </right>
      <top style="thin">
        <color rgb="FFD3D1C7"/>
      </top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9" fontId="10" fillId="5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9" fontId="10" fillId="6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12" fillId="8" borderId="4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center"/>
    </xf>
    <xf numFmtId="9" fontId="14" fillId="8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15" fillId="10" borderId="4" applyAlignment="1" pivotButton="0" quotePrefix="0" xfId="0">
      <alignment horizontal="center" vertical="center"/>
    </xf>
    <xf numFmtId="0" fontId="16" fillId="11" borderId="4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 vertical="center"/>
    </xf>
    <xf numFmtId="0" fontId="18" fillId="12" borderId="4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9" fillId="13" borderId="5" applyAlignment="1" pivotButton="0" quotePrefix="0" xfId="0">
      <alignment horizontal="left" vertical="center"/>
    </xf>
    <xf numFmtId="0" fontId="20" fillId="5" borderId="5" applyAlignment="1" pivotButton="0" quotePrefix="0" xfId="0">
      <alignment horizontal="left" vertical="center"/>
    </xf>
    <xf numFmtId="0" fontId="20" fillId="13" borderId="5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10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/>
    </xf>
    <xf numFmtId="0" fontId="2" fillId="0" borderId="8" pivotButton="0" quotePrefix="0" xfId="0"/>
    <xf numFmtId="9" fontId="24" fillId="8" borderId="5" applyAlignment="1" pivotButton="0" quotePrefix="0" xfId="0">
      <alignment horizontal="center" vertical="center"/>
    </xf>
    <xf numFmtId="0" fontId="26" fillId="10" borderId="9" applyAlignment="1" pivotButton="0" quotePrefix="0" xfId="0">
      <alignment vertical="bottom"/>
    </xf>
    <xf numFmtId="0" fontId="2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left" vertical="center"/>
    </xf>
    <xf numFmtId="0" fontId="27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left" vertical="center"/>
    </xf>
    <xf numFmtId="0" fontId="21" fillId="7" borderId="1" applyAlignment="1" pivotButton="0" quotePrefix="0" xfId="0">
      <alignment horizontal="left" vertical="center"/>
    </xf>
    <xf numFmtId="0" fontId="29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9" applyAlignment="1" pivotButton="0" quotePrefix="0" xfId="0">
      <alignment horizontal="left" vertical="center"/>
    </xf>
    <xf numFmtId="0" fontId="3" fillId="3" borderId="9" applyAlignment="1" pivotButton="0" quotePrefix="0" xfId="0">
      <alignment horizontal="left" vertical="center"/>
    </xf>
    <xf numFmtId="0" fontId="4" fillId="4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5" fillId="4" borderId="10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19" fillId="13" borderId="10" applyAlignment="1" pivotButton="0" quotePrefix="0" xfId="0">
      <alignment horizontal="left" vertical="center"/>
    </xf>
    <xf numFmtId="0" fontId="20" fillId="5" borderId="10" applyAlignment="1" pivotButton="0" quotePrefix="0" xfId="0">
      <alignment horizontal="left" vertical="center"/>
    </xf>
    <xf numFmtId="0" fontId="20" fillId="13" borderId="10" applyAlignment="1" pivotButton="0" quotePrefix="0" xfId="0">
      <alignment horizontal="left" vertical="center"/>
    </xf>
    <xf numFmtId="0" fontId="21" fillId="2" borderId="9" applyAlignment="1" pivotButton="0" quotePrefix="0" xfId="0">
      <alignment horizontal="left" vertical="center"/>
    </xf>
    <xf numFmtId="0" fontId="22" fillId="10" borderId="9" applyAlignment="1" pivotButton="0" quotePrefix="0" xfId="0">
      <alignment horizontal="left" vertical="center"/>
    </xf>
    <xf numFmtId="0" fontId="24" fillId="10" borderId="10" applyAlignment="1" pivotButton="0" quotePrefix="0" xfId="0">
      <alignment horizontal="center" vertical="center"/>
    </xf>
    <xf numFmtId="0" fontId="25" fillId="9" borderId="4" applyAlignment="1" pivotButton="0" quotePrefix="0" xfId="0">
      <alignment horizontal="center" vertical="center"/>
    </xf>
    <xf numFmtId="0" fontId="0" fillId="0" borderId="8" pivotButton="0" quotePrefix="0" xfId="0"/>
    <xf numFmtId="9" fontId="24" fillId="8" borderId="4" applyAlignment="1" pivotButton="0" quotePrefix="0" xfId="0">
      <alignment horizontal="center" vertical="center"/>
    </xf>
    <xf numFmtId="0" fontId="21" fillId="7" borderId="9" applyAlignment="1" pivotButton="0" quotePrefix="0" xfId="0">
      <alignment horizontal="left" vertical="center"/>
    </xf>
    <xf numFmtId="0" fontId="29" fillId="1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name val="Arial"/>
        <color rgb="FF3B6D11"/>
        <sz val="9"/>
      </font>
      <fill>
        <patternFill patternType="solid">
          <fgColor rgb="FFEAF3DE"/>
          <bgColor rgb="FFEAF3DE"/>
        </patternFill>
      </fill>
      <border/>
    </dxf>
    <dxf>
      <font/>
      <fill>
        <patternFill patternType="solid">
          <fgColor rgb="FFFAEEDA"/>
          <bgColor rgb="FFFAEEDA"/>
        </patternFill>
      </fill>
      <border/>
    </dxf>
    <dxf>
      <font>
        <name val="Arial"/>
        <color rgb="FFA32D2D"/>
        <sz val="9"/>
      </font>
      <fill>
        <patternFill patternType="solid">
          <fgColor rgb="FFFCEBEB"/>
          <bgColor rgb="FFFCEBE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aibt_sprint_tracker.xlsx" TargetMode="External" Id="rId1" /><Relationship Type="http://schemas.openxmlformats.org/officeDocument/2006/relationships/hyperlink" Target="http://aibt_sprint_tracker.xlsx" TargetMode="External" Id="rId2" /><Relationship Type="http://schemas.openxmlformats.org/officeDocument/2006/relationships/hyperlink" Target="http://aibt_sprint_tracker.xlsx" TargetMode="External" Id="rId3" /><Relationship Type="http://schemas.openxmlformats.org/officeDocument/2006/relationships/hyperlink" Target="http://aibt_sprint_tracker.xlsx" TargetMode="External" Id="rId4" /><Relationship Type="http://schemas.openxmlformats.org/officeDocument/2006/relationships/hyperlink" Target="http://aibt_sprint_tracker.xlsx" TargetMode="External" Id="rId5" /><Relationship Type="http://schemas.openxmlformats.org/officeDocument/2006/relationships/hyperlink" Target="http://aibt_sprint_tracker.xlsx" TargetMode="External" Id="rId6" /><Relationship Type="http://schemas.openxmlformats.org/officeDocument/2006/relationships/hyperlink" Target="http://aibt_sprint_tracker.xlsx" TargetMode="External" Id="rId7" /><Relationship Type="http://schemas.openxmlformats.org/officeDocument/2006/relationships/hyperlink" Target="http://aibt_sprint_tracker.xlsx" TargetMode="External" Id="rId8" /><Relationship Type="http://schemas.openxmlformats.org/officeDocument/2006/relationships/hyperlink" Target="http://aibt_sprint_tracker.xlsx" TargetMode="External" Id="rId9" /><Relationship Type="http://schemas.openxmlformats.org/officeDocument/2006/relationships/hyperlink" Target="http://aibt_sprint_tracker.xlsx" TargetMode="External" Id="rId10" /><Relationship Type="http://schemas.openxmlformats.org/officeDocument/2006/relationships/hyperlink" Target="http://aibt_sprint_tracker.xlsx" TargetMode="External" Id="rId11" /><Relationship Type="http://schemas.openxmlformats.org/officeDocument/2006/relationships/hyperlink" Target="http://aibt_sprint_tracker.xlsx" TargetMode="External" Id="rId12" /></Relationships>
</file>

<file path=xl/worksheets/sheet1.xml><?xml version="1.0" encoding="utf-8"?>
<worksheet xmlns="http://schemas.openxmlformats.org/spreadsheetml/2006/main">
  <sheetPr>
    <tabColor rgb="FF534AB7"/>
    <outlinePr summaryBelow="1" summaryRight="1"/>
    <pageSetUpPr/>
  </sheetPr>
  <dimension ref="B2:G3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8" defaultColWidth="14.43" defaultRowHeight="15" customHeight="1"/>
  <cols>
    <col width="3" customWidth="1" style="53" min="1" max="1"/>
    <col width="26" customWidth="1" style="53" min="2" max="2"/>
    <col width="14" customWidth="1" style="53" min="3" max="7"/>
    <col width="8.710000000000001" customWidth="1" style="53" min="8" max="26"/>
  </cols>
  <sheetData>
    <row r="1" ht="7.5" customHeight="1" s="53"/>
    <row r="2" ht="39.75" customHeight="1" s="53">
      <c r="B2" s="54" t="inlineStr">
        <is>
          <t>AI-Powered Bug Tracker — Sprint Tracker</t>
        </is>
      </c>
    </row>
    <row r="3" ht="19.5" customHeight="1" s="53">
      <c r="B3" s="55" t="inlineStr">
        <is>
          <t>AIBT-2026  |  Project: Alok Ranjan  |  April 2026  |  v1.0</t>
        </is>
      </c>
    </row>
    <row r="4" ht="27.75" customHeight="1" s="53"/>
    <row r="5" ht="24" customHeight="1" s="53">
      <c r="B5" s="56" t="inlineStr">
        <is>
          <t>Sprint Summary — live progress (auto-calculated from tracker sheets)</t>
        </is>
      </c>
    </row>
    <row r="6" ht="18" customHeight="1" s="53">
      <c r="B6" s="6" t="inlineStr">
        <is>
          <t>Sprint</t>
        </is>
      </c>
      <c r="C6" s="6" t="inlineStr">
        <is>
          <t>Title</t>
        </is>
      </c>
      <c r="D6" s="6" t="inlineStr">
        <is>
          <t>Phase</t>
        </is>
      </c>
      <c r="E6" s="6" t="inlineStr">
        <is>
          <t>Tasks</t>
        </is>
      </c>
      <c r="F6" s="6" t="inlineStr">
        <is>
          <t>Done</t>
        </is>
      </c>
      <c r="G6" s="6" t="inlineStr">
        <is>
          <t>Progress</t>
        </is>
      </c>
    </row>
    <row r="7" ht="19.5" customHeight="1" s="53">
      <c r="B7" s="7" t="inlineStr">
        <is>
          <t>Sprint 1</t>
        </is>
      </c>
      <c r="C7" s="8" t="inlineStr">
        <is>
          <t>Foundation &amp; Auth</t>
        </is>
      </c>
      <c r="D7" s="9" t="inlineStr">
        <is>
          <t>Backend</t>
        </is>
      </c>
      <c r="E7" s="10" t="n">
        <v>13</v>
      </c>
      <c r="F7" s="11">
        <f>COUNTIF('S1-Auth'!D8:D20,"Done")</f>
        <v/>
      </c>
      <c r="G7" s="12">
        <f>IFERROR(F7/13,0)</f>
        <v/>
      </c>
    </row>
    <row r="8" ht="19.5" customHeight="1" s="53">
      <c r="B8" s="7" t="inlineStr">
        <is>
          <t>Sprint 2</t>
        </is>
      </c>
      <c r="C8" s="13" t="inlineStr">
        <is>
          <t>Bug CRUD APIs</t>
        </is>
      </c>
      <c r="D8" s="9" t="inlineStr">
        <is>
          <t>Backend</t>
        </is>
      </c>
      <c r="E8" s="49" t="n">
        <v>10</v>
      </c>
      <c r="F8" s="15">
        <f>COUNTIF('S2-BugCRUD'!D8:D17,"Done")</f>
        <v/>
      </c>
      <c r="G8" s="16">
        <f>IFERROR(F8/10,0)</f>
        <v/>
      </c>
    </row>
    <row r="9" ht="19.5" customHeight="1" s="53">
      <c r="B9" s="7" t="inlineStr">
        <is>
          <t>Sprint 3</t>
        </is>
      </c>
      <c r="C9" s="8" t="inlineStr">
        <is>
          <t>User Management APIs</t>
        </is>
      </c>
      <c r="D9" s="9" t="inlineStr">
        <is>
          <t>Backend</t>
        </is>
      </c>
      <c r="E9" s="10" t="n">
        <v>6</v>
      </c>
      <c r="F9" s="11">
        <f>COUNTIF('S3-UserMgmt'!D8:D13,"Done")</f>
        <v/>
      </c>
      <c r="G9" s="12">
        <f>IFERROR(F9/6,0)</f>
        <v/>
      </c>
    </row>
    <row r="10" ht="19.5" customHeight="1" s="53">
      <c r="B10" s="7" t="inlineStr">
        <is>
          <t>Sprint 4</t>
        </is>
      </c>
      <c r="C10" s="13" t="inlineStr">
        <is>
          <t>AI Integration</t>
        </is>
      </c>
      <c r="D10" s="9" t="inlineStr">
        <is>
          <t>Backend</t>
        </is>
      </c>
      <c r="E10" s="49" t="n">
        <v>8</v>
      </c>
      <c r="F10" s="15">
        <f>COUNTIF('S4-AI'!D8:D15,"Done")</f>
        <v/>
      </c>
      <c r="G10" s="16">
        <f>IFERROR(F10/8,0)</f>
        <v/>
      </c>
    </row>
    <row r="11" ht="19.5" customHeight="1" s="53">
      <c r="B11" s="7" t="inlineStr">
        <is>
          <t>Sprint 5</t>
        </is>
      </c>
      <c r="C11" s="8" t="inlineStr">
        <is>
          <t>Playwright Test Runner</t>
        </is>
      </c>
      <c r="D11" s="9" t="inlineStr">
        <is>
          <t>Backend</t>
        </is>
      </c>
      <c r="E11" s="10" t="n">
        <v>8</v>
      </c>
      <c r="F11" s="11">
        <f>COUNTIF('S5-Playwright'!D8:D15,"Done")</f>
        <v/>
      </c>
      <c r="G11" s="12">
        <f>IFERROR(F11/8,0)</f>
        <v/>
      </c>
    </row>
    <row r="12" ht="19.5" customHeight="1" s="53">
      <c r="B12" s="7" t="inlineStr">
        <is>
          <t>Sprint 6</t>
        </is>
      </c>
      <c r="C12" s="13" t="inlineStr">
        <is>
          <t>Email Notifications</t>
        </is>
      </c>
      <c r="D12" s="9" t="inlineStr">
        <is>
          <t>Backend</t>
        </is>
      </c>
      <c r="E12" s="49" t="n">
        <v>8</v>
      </c>
      <c r="F12" s="15">
        <f>COUNTIF('S6-Email'!D8:D15,"Done")</f>
        <v/>
      </c>
      <c r="G12" s="16">
        <f>IFERROR(F12/8,0)</f>
        <v/>
      </c>
    </row>
    <row r="13" ht="19.5" customHeight="1" s="53">
      <c r="B13" s="7" t="inlineStr">
        <is>
          <t>Sprint 7</t>
        </is>
      </c>
      <c r="C13" s="8" t="inlineStr">
        <is>
          <t>Testing &amp; Hardening</t>
        </is>
      </c>
      <c r="D13" s="9" t="inlineStr">
        <is>
          <t>Backend</t>
        </is>
      </c>
      <c r="E13" s="10" t="n">
        <v>8</v>
      </c>
      <c r="F13" s="11">
        <f>COUNTIF('S7-Hardening'!D8:D15,"Done")</f>
        <v/>
      </c>
      <c r="G13" s="12">
        <f>IFERROR(F13/8,0)</f>
        <v/>
      </c>
    </row>
    <row r="14" ht="19.5" customHeight="1" s="53">
      <c r="B14" s="17" t="inlineStr">
        <is>
          <t>Sprint 8</t>
        </is>
      </c>
      <c r="C14" s="13" t="inlineStr">
        <is>
          <t>Setup &amp; Auth UI</t>
        </is>
      </c>
      <c r="D14" s="18" t="inlineStr">
        <is>
          <t>Frontend</t>
        </is>
      </c>
      <c r="E14" s="49" t="n">
        <v>9</v>
      </c>
      <c r="F14" s="15">
        <f>COUNTIF('S8-FE-Auth'!D8:D16,"Done")</f>
        <v/>
      </c>
      <c r="G14" s="16">
        <f>IFERROR(F14/9,0)</f>
        <v/>
      </c>
    </row>
    <row r="15" ht="19.5" customHeight="1" s="53">
      <c r="B15" s="17" t="inlineStr">
        <is>
          <t>Sprint 9</t>
        </is>
      </c>
      <c r="C15" s="8" t="inlineStr">
        <is>
          <t>Admin Dashboard</t>
        </is>
      </c>
      <c r="D15" s="18" t="inlineStr">
        <is>
          <t>Frontend</t>
        </is>
      </c>
      <c r="E15" s="10" t="n">
        <v>10</v>
      </c>
      <c r="F15" s="11">
        <f>COUNTIF('S9-Admin'!D8:D17,"Done")</f>
        <v/>
      </c>
      <c r="G15" s="12">
        <f>IFERROR(F15/10,0)</f>
        <v/>
      </c>
    </row>
    <row r="16" ht="19.5" customHeight="1" s="53">
      <c r="B16" s="17" t="inlineStr">
        <is>
          <t>Sprint 10</t>
        </is>
      </c>
      <c r="C16" s="13" t="inlineStr">
        <is>
          <t>Developer Dashboard</t>
        </is>
      </c>
      <c r="D16" s="18" t="inlineStr">
        <is>
          <t>Frontend</t>
        </is>
      </c>
      <c r="E16" s="49" t="n">
        <v>9</v>
      </c>
      <c r="F16" s="15">
        <f>COUNTIF('S10-DevDash'!D8:D16,"Done")</f>
        <v/>
      </c>
      <c r="G16" s="16">
        <f>IFERROR(F16/9,0)</f>
        <v/>
      </c>
    </row>
    <row r="17" ht="19.5" customHeight="1" s="53">
      <c r="B17" s="17" t="inlineStr">
        <is>
          <t>Sprint 11</t>
        </is>
      </c>
      <c r="C17" s="8" t="inlineStr">
        <is>
          <t>Tester Dashboard</t>
        </is>
      </c>
      <c r="D17" s="18" t="inlineStr">
        <is>
          <t>Frontend</t>
        </is>
      </c>
      <c r="E17" s="10" t="n">
        <v>9</v>
      </c>
      <c r="F17" s="11">
        <f>COUNTIF('S11-Tester'!D8:D16,"Done")</f>
        <v/>
      </c>
      <c r="G17" s="12">
        <f>IFERROR(F17/9,0)</f>
        <v/>
      </c>
    </row>
    <row r="18" ht="19.5" customHeight="1" s="53">
      <c r="B18" s="17" t="inlineStr">
        <is>
          <t>Sprint 12</t>
        </is>
      </c>
      <c r="C18" s="13" t="inlineStr">
        <is>
          <t>Polish &amp; QA</t>
        </is>
      </c>
      <c r="D18" s="18" t="inlineStr">
        <is>
          <t>Frontend</t>
        </is>
      </c>
      <c r="E18" s="49" t="n">
        <v>10</v>
      </c>
      <c r="F18" s="15">
        <f>COUNTIF('S12-Polish'!D8:D17,"Done")</f>
        <v/>
      </c>
      <c r="G18" s="16">
        <f>IFERROR(F18/10,0)</f>
        <v/>
      </c>
    </row>
    <row r="19" ht="24" customHeight="1" s="53">
      <c r="B19" s="57" t="inlineStr">
        <is>
          <t>TOTAL PROJECT</t>
        </is>
      </c>
      <c r="C19" s="58" t="n"/>
      <c r="D19" s="58" t="n"/>
      <c r="E19" s="22" t="n">
        <v>108</v>
      </c>
      <c r="F19" s="23">
        <f>SUM(F7:F18)</f>
        <v/>
      </c>
      <c r="G19" s="24">
        <f>IFERROR(F19/108,0)</f>
        <v/>
      </c>
    </row>
    <row r="21" ht="19.5" customHeight="1" s="53">
      <c r="B21" s="59" t="inlineStr">
        <is>
          <t>STATUS LEGEND</t>
        </is>
      </c>
      <c r="C21" s="58" t="n"/>
      <c r="D21" s="58" t="n"/>
      <c r="E21" s="58" t="n"/>
      <c r="F21" s="58" t="n"/>
      <c r="G21" s="58" t="n"/>
    </row>
    <row r="22" ht="18" customHeight="1" s="53">
      <c r="B22" s="26" t="inlineStr">
        <is>
          <t>To Do</t>
        </is>
      </c>
      <c r="C22" s="27" t="inlineStr">
        <is>
          <t>In Progress</t>
        </is>
      </c>
      <c r="D22" s="28" t="inlineStr">
        <is>
          <t>Done</t>
        </is>
      </c>
      <c r="E22" s="29" t="inlineStr">
        <is>
          <t>Blocked</t>
        </is>
      </c>
    </row>
    <row r="23" ht="15.75" customHeight="1" s="53"/>
    <row r="24" ht="18" customHeight="1" s="53">
      <c r="B24" s="60" t="inlineStr">
        <is>
          <t>HOW TO USE</t>
        </is>
      </c>
    </row>
    <row r="25" ht="15.75" customHeight="1" s="53">
      <c r="B25" s="61" t="inlineStr">
        <is>
          <t>1.  Click any Sprint name above to jump directly to that sprint's task list.</t>
        </is>
      </c>
      <c r="C25" s="58" t="n"/>
      <c r="D25" s="58" t="n"/>
      <c r="E25" s="58" t="n"/>
      <c r="F25" s="58" t="n"/>
      <c r="G25" s="58" t="n"/>
    </row>
    <row r="26" ht="15.75" customHeight="1" s="53">
      <c r="B26" s="62" t="inlineStr">
        <is>
          <t>2.  On each sprint sheet, change the STATUS dropdown for each task (To Do / In Progress / Done / Blocked).</t>
        </is>
      </c>
      <c r="C26" s="58" t="n"/>
      <c r="D26" s="58" t="n"/>
      <c r="E26" s="58" t="n"/>
      <c r="F26" s="58" t="n"/>
      <c r="G26" s="58" t="n"/>
    </row>
    <row r="27" ht="15.75" customHeight="1" s="53">
      <c r="B27" s="63" t="inlineStr">
        <is>
          <t>3.  Dashboard progress % and Done counts update automatically via formulas — no manual entry needed.</t>
        </is>
      </c>
      <c r="C27" s="58" t="n"/>
      <c r="D27" s="58" t="n"/>
      <c r="E27" s="58" t="n"/>
      <c r="F27" s="58" t="n"/>
      <c r="G27" s="58" t="n"/>
    </row>
    <row r="28" ht="15.75" customHeight="1" s="53">
      <c r="B28" s="62" t="inlineStr">
        <is>
          <t>4.  Use the ASSIGNED TO column to note who owns each task.</t>
        </is>
      </c>
      <c r="C28" s="58" t="n"/>
      <c r="D28" s="58" t="n"/>
      <c r="E28" s="58" t="n"/>
      <c r="F28" s="58" t="n"/>
      <c r="G28" s="58" t="n"/>
    </row>
    <row r="29" ht="15.75" customHeight="1" s="53">
      <c r="B29" s="63" t="inlineStr">
        <is>
          <t>5.  Use the NOTES column for blockers, PR links, or completion notes.</t>
        </is>
      </c>
      <c r="C29" s="58" t="n"/>
      <c r="D29" s="58" t="n"/>
      <c r="E29" s="58" t="n"/>
      <c r="F29" s="58" t="n"/>
      <c r="G29" s="58" t="n"/>
    </row>
    <row r="30" ht="15.75" customHeight="1" s="53">
      <c r="B30" s="62" t="inlineStr">
        <is>
          <t>6.  PRIORITY is pre-filled (first 3 tasks = High, next 4 = Medium, rest = Low) — adjust as needed.</t>
        </is>
      </c>
      <c r="C30" s="58" t="n"/>
      <c r="D30" s="58" t="n"/>
      <c r="E30" s="58" t="n"/>
      <c r="F30" s="58" t="n"/>
      <c r="G30" s="58" t="n"/>
    </row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12">
    <mergeCell ref="B3:G3"/>
    <mergeCell ref="B2:G2"/>
    <mergeCell ref="B24:G24"/>
    <mergeCell ref="B19:D19"/>
    <mergeCell ref="B28:G28"/>
    <mergeCell ref="B5:G5"/>
    <mergeCell ref="B30:G30"/>
    <mergeCell ref="B27:G27"/>
    <mergeCell ref="B26:G26"/>
    <mergeCell ref="B21:G21"/>
    <mergeCell ref="B29:G29"/>
    <mergeCell ref="B25:G25"/>
  </mergeCells>
  <hyperlinks>
    <hyperlink xmlns:r="http://schemas.openxmlformats.org/officeDocument/2006/relationships" ref="C7" location="S1-Auth!C8" r:id="rId1"/>
    <hyperlink xmlns:r="http://schemas.openxmlformats.org/officeDocument/2006/relationships" ref="C8" location="S2-BugCRUD!C8" r:id="rId2"/>
    <hyperlink xmlns:r="http://schemas.openxmlformats.org/officeDocument/2006/relationships" ref="C9" location="S3-UserMgmt!C8" r:id="rId3"/>
    <hyperlink xmlns:r="http://schemas.openxmlformats.org/officeDocument/2006/relationships" ref="C10" location="S4-AI!C8" r:id="rId4"/>
    <hyperlink xmlns:r="http://schemas.openxmlformats.org/officeDocument/2006/relationships" ref="C11" location="S5-Playwright!C8" r:id="rId5"/>
    <hyperlink xmlns:r="http://schemas.openxmlformats.org/officeDocument/2006/relationships" ref="C12" location="S6-Email!C8" r:id="rId6"/>
    <hyperlink xmlns:r="http://schemas.openxmlformats.org/officeDocument/2006/relationships" ref="C13" location="S7-Hardening!C8" r:id="rId7"/>
    <hyperlink xmlns:r="http://schemas.openxmlformats.org/officeDocument/2006/relationships" ref="C14" location="S8-FE-Auth!C8" r:id="rId8"/>
    <hyperlink xmlns:r="http://schemas.openxmlformats.org/officeDocument/2006/relationships" ref="C15" location="S9-Admin!C8" r:id="rId9"/>
    <hyperlink xmlns:r="http://schemas.openxmlformats.org/officeDocument/2006/relationships" ref="C16" location="S10-DevDash!C8" r:id="rId10"/>
    <hyperlink xmlns:r="http://schemas.openxmlformats.org/officeDocument/2006/relationships" ref="C17" location="S11-Tester!C8" r:id="rId11"/>
    <hyperlink xmlns:r="http://schemas.openxmlformats.org/officeDocument/2006/relationships" ref="C18" location="S12-Polish!C8" r:id="rId12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20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1  —  Foundation &amp; Auth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13</t>
        </is>
      </c>
      <c r="C5" s="58" t="n"/>
      <c r="D5" s="67">
        <f>COUNTIF(D8:D20,"Done")</f>
        <v/>
      </c>
      <c r="E5" s="68" t="n"/>
      <c r="F5" s="69">
        <f>IFERROR(D5/13,"0%")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Create Spring Boot 3 project (Initializr: Web, JPA, Security, Validation, Lombok, PostgreSQL)</t>
        </is>
      </c>
      <c r="D8" s="45" t="inlineStr">
        <is>
          <t>Done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Configure application.properties — datasource, JPA DDL, server port</t>
        </is>
      </c>
      <c r="D9" s="49" t="inlineStr">
        <is>
          <t>Done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Design JPA entity: User (id UUID, name, email, password, role ENUM, phone, createdAt)</t>
        </is>
      </c>
      <c r="D10" s="45" t="inlineStr">
        <is>
          <t>Done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Design JPA entity: Bug (id UUID, title, description, severity, status, assignedTo FK, createdBy FK, timestamps)</t>
        </is>
      </c>
      <c r="D11" s="49" t="inlineStr">
        <is>
          <t>Done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Design JPA entity: TestScript (id UUID, bugId FK, code TEXT, status ENUM, logs TEXT, executedAt)</t>
        </is>
      </c>
      <c r="D12" s="45" t="inlineStr">
        <is>
          <t>Done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Implement Spring Security — SecurityFilterChain, JwtAuthFilter, JwtUtil</t>
        </is>
      </c>
      <c r="D13" s="49" t="inlineStr">
        <is>
          <t>Done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Token blacklist service for logout (in-memory Set or Redis)</t>
        </is>
      </c>
      <c r="D14" s="45" t="inlineStr">
        <is>
          <t>Done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Auth endpoint: POST /api/auth/signup (Tester only)</t>
        </is>
      </c>
      <c r="D15" s="49" t="inlineStr">
        <is>
          <t>Done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Auth endpoint: POST /api/auth/login (all roles, returns JWT)</t>
        </is>
      </c>
      <c r="D16" s="45" t="inlineStr">
        <is>
          <t>Done</t>
        </is>
      </c>
      <c r="E16" s="45" t="inlineStr">
        <is>
          <t>Low</t>
        </is>
      </c>
      <c r="F16" s="45" t="n"/>
      <c r="G16" s="46" t="n"/>
      <c r="H16" s="41" t="n"/>
    </row>
    <row r="17" ht="21.75" customHeight="1" s="53">
      <c r="A17" s="41" t="n"/>
      <c r="B17" s="47" t="n">
        <v>10</v>
      </c>
      <c r="C17" s="48" t="inlineStr">
        <is>
          <t>Auth endpoint: POST /api/auth/logout (invalidate token)</t>
        </is>
      </c>
      <c r="D17" s="49" t="inlineStr">
        <is>
          <t>Done</t>
        </is>
      </c>
      <c r="E17" s="49" t="inlineStr">
        <is>
          <t>Low</t>
        </is>
      </c>
      <c r="F17" s="49" t="n"/>
      <c r="G17" s="50" t="n"/>
      <c r="H17" s="41" t="n"/>
    </row>
    <row r="18" ht="21.75" customHeight="1" s="53">
      <c r="A18" s="41" t="n"/>
      <c r="B18" s="42" t="n">
        <v>11</v>
      </c>
      <c r="C18" s="43" t="inlineStr">
        <is>
          <t>Role-based route protection: ADMIN, DEVELOPER, TESTER mapped to endpoint patterns</t>
        </is>
      </c>
      <c r="D18" s="45" t="inlineStr">
        <is>
          <t>Done</t>
        </is>
      </c>
      <c r="E18" s="45" t="inlineStr">
        <is>
          <t>Low</t>
        </is>
      </c>
      <c r="F18" s="45" t="n"/>
      <c r="G18" s="46" t="n"/>
      <c r="H18" s="41" t="n"/>
    </row>
    <row r="19" ht="21.75" customHeight="1" s="53">
      <c r="A19" s="41" t="n"/>
      <c r="B19" s="47" t="n">
        <v>12</v>
      </c>
      <c r="C19" s="48" t="inlineStr">
        <is>
          <t>Global exception handler (@RestControllerAdvice) — 401, 403, 404, 400</t>
        </is>
      </c>
      <c r="D19" s="49" t="inlineStr">
        <is>
          <t>Done</t>
        </is>
      </c>
      <c r="E19" s="49" t="inlineStr">
        <is>
          <t>Low</t>
        </is>
      </c>
      <c r="F19" s="49" t="n"/>
      <c r="G19" s="50" t="n"/>
      <c r="H19" s="41" t="n"/>
    </row>
    <row r="20" ht="21.75" customHeight="1" s="53">
      <c r="A20" s="41" t="n"/>
      <c r="B20" s="42" t="n">
        <v>13</v>
      </c>
      <c r="C20" s="43" t="inlineStr">
        <is>
          <t>Unit tests for JwtUtil and AuthService</t>
        </is>
      </c>
      <c r="D20" s="45" t="inlineStr">
        <is>
          <t>Done</t>
        </is>
      </c>
      <c r="E20" s="45" t="inlineStr">
        <is>
          <t>Low</t>
        </is>
      </c>
      <c r="F20" s="45" t="n"/>
      <c r="G20" s="46" t="n"/>
      <c r="H20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20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20" showDropDown="0" showInputMessage="1" showErrorMessage="1" allowBlank="1" prompt="Invalid - Please select: To Do, In Progress, Done, or Blocked" type="list">
      <formula1>"To Do,In Progress,Done,Blocked"</formula1>
    </dataValidation>
    <dataValidation sqref="E8:E20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17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2  —  Bug CRUD APIs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10</t>
        </is>
      </c>
      <c r="C5" s="58" t="n"/>
      <c r="D5" s="67">
        <f>COUNTIF(D8:D17,"Done")</f>
        <v/>
      </c>
      <c r="E5" s="68" t="n"/>
      <c r="F5" s="69">
        <f>IFERROR(D5/10,"0%")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POST /api/bugs — create bug (Admin or Tester) with field validation</t>
        </is>
      </c>
      <c r="D8" s="45" t="inlineStr">
        <is>
          <t>Done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GET /api/bugs — list all bugs (Admin); scoped list for Developer and Tester</t>
        </is>
      </c>
      <c r="D9" s="49" t="inlineStr">
        <is>
          <t>Done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GET /api/bugs/{id} — get single bug with associated TestScript</t>
        </is>
      </c>
      <c r="D10" s="45" t="inlineStr">
        <is>
          <t>Done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PUT /api/bugs/{id} — full update (Admin only): title, description, severity, assignee, status</t>
        </is>
      </c>
      <c r="D11" s="49" t="inlineStr">
        <is>
          <t>Done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DELETE /api/bugs/{id} — hard delete with cascade to TestScript (Admin only)</t>
        </is>
      </c>
      <c r="D12" s="45" t="inlineStr">
        <is>
          <t>Done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PATCH /api/bugs/{id}/status — Developer updates: Open / In Progress / Resolved / Closed</t>
        </is>
      </c>
      <c r="D13" s="49" t="inlineStr">
        <is>
          <t>Done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PATCH /api/bugs/{id}/cancel — Tester withdraws own bug (status = Withdrawn)</t>
        </is>
      </c>
      <c r="D14" s="45" t="inlineStr">
        <is>
          <t>Done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Request/response DTOs for all endpoints (manual mapping or MapStruct)</t>
        </is>
      </c>
      <c r="D15" s="49" t="inlineStr">
        <is>
          <t>Done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@Valid + custom constraint validators: severity enum, status transition rules</t>
        </is>
      </c>
      <c r="D16" s="45" t="inlineStr">
        <is>
          <t>Done</t>
        </is>
      </c>
      <c r="E16" s="45" t="inlineStr">
        <is>
          <t>Low</t>
        </is>
      </c>
      <c r="F16" s="45" t="n"/>
      <c r="G16" s="46" t="n"/>
      <c r="H16" s="41" t="n"/>
    </row>
    <row r="17" ht="21.75" customHeight="1" s="53">
      <c r="A17" s="41" t="n"/>
      <c r="B17" s="47" t="n">
        <v>10</v>
      </c>
      <c r="C17" s="48" t="inlineStr">
        <is>
          <t>Integration tests for all Bug endpoints using MockMvc</t>
        </is>
      </c>
      <c r="D17" s="49" t="inlineStr">
        <is>
          <t>Done</t>
        </is>
      </c>
      <c r="E17" s="49" t="inlineStr">
        <is>
          <t>Low</t>
        </is>
      </c>
      <c r="F17" s="49" t="n"/>
      <c r="G17" s="50" t="n"/>
      <c r="H17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7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7" showDropDown="0" showInputMessage="1" showErrorMessage="1" allowBlank="1" prompt="Invalid - Please select: To Do, In Progress, Done, or Blocked" type="list">
      <formula1>"To Do,In Progress,Done,Blocked"</formula1>
    </dataValidation>
    <dataValidation sqref="E8:E17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13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3  —  User Management APIs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6</t>
        </is>
      </c>
      <c r="C5" s="58" t="n"/>
      <c r="D5" s="67">
        <f>COUNTIF(D8:D13,"Done")</f>
        <v/>
      </c>
      <c r="E5" s="68" t="n"/>
      <c r="F5" s="69">
        <f>IFERROR(D5/6,"0%")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GET /api/users — list all users (Admin): id, name, email, role, phone, createdAt</t>
        </is>
      </c>
      <c r="D8" s="45" t="inlineStr">
        <is>
          <t>Done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PUT /api/users/{id} — Admin updates user: only email and phone editable</t>
        </is>
      </c>
      <c r="D9" s="49" t="inlineStr">
        <is>
          <t>Done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DELETE /api/users/{id} — Admin hard-deletes user; prevent self-deletion</t>
        </is>
      </c>
      <c r="D10" s="45" t="inlineStr">
        <is>
          <t>Done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PATCH /api/users/password — Tester changes own password with bcrypt verify</t>
        </is>
      </c>
      <c r="D11" s="49" t="inlineStr">
        <is>
          <t>Done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Password change validation: min-length, reject re-use of current password</t>
        </is>
      </c>
      <c r="D12" s="45" t="inlineStr">
        <is>
          <t>Done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Unit tests for UserService; integration tests for all User endpoints</t>
        </is>
      </c>
      <c r="D13" s="49" t="inlineStr">
        <is>
          <t>Done</t>
        </is>
      </c>
      <c r="E13" s="49" t="inlineStr">
        <is>
          <t>Medium</t>
        </is>
      </c>
      <c r="F13" s="49" t="n"/>
      <c r="G13" s="50" t="n"/>
      <c r="H13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3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3" showDropDown="0" showInputMessage="1" showErrorMessage="1" allowBlank="1" prompt="Invalid - Please select: To Do, In Progress, Done, or Blocked" type="list">
      <formula1>"To Do,In Progress,Done,Blocked"</formula1>
    </dataValidation>
    <dataValidation sqref="E8:E13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15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4  —  AI Integration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8</t>
        </is>
      </c>
      <c r="C5" s="58" t="n"/>
      <c r="D5" s="67">
        <f>COUNTIF(D8:D15,"Done")</f>
        <v/>
      </c>
      <c r="E5" s="68" t="n"/>
      <c r="F5" s="69">
        <f>IFERROR(D5/8,"0%")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AiService: build prompt from bug title + description</t>
        </is>
      </c>
      <c r="D8" s="45" t="inlineStr">
        <is>
          <t>Done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Call Claude / Gemini / OpenAI API via RestTemplate or WebClient</t>
        </is>
      </c>
      <c r="D9" s="49" t="inlineStr">
        <is>
          <t>Done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Parse AI response: extract raw Playwright JS code block and sanitise</t>
        </is>
      </c>
      <c r="D10" s="45" t="inlineStr">
        <is>
          <t>Done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Save TestScript entity (code=AI output, status=PENDING) immediately after bug save</t>
        </is>
      </c>
      <c r="D11" s="49" t="inlineStr">
        <is>
          <t>Done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Make AI call asynchronous (@Async + ThreadPoolTaskExecutor) — bug returns 201 instantly</t>
        </is>
      </c>
      <c r="D12" s="45" t="inlineStr">
        <is>
          <t>Done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Handle AI API timeout (10s) and errors: mark status=AI_FAILED, do not block bug save</t>
        </is>
      </c>
      <c r="D13" s="49" t="inlineStr">
        <is>
          <t>Done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Config: AI provider URL, API key, model, temperature — all from application.properties / env</t>
        </is>
      </c>
      <c r="D14" s="45" t="inlineStr">
        <is>
          <t>Done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Unit tests for AiService with mocked HTTP client</t>
        </is>
      </c>
      <c r="D15" s="49" t="inlineStr">
        <is>
          <t>Done</t>
        </is>
      </c>
      <c r="E15" s="49" t="inlineStr">
        <is>
          <t>Low</t>
        </is>
      </c>
      <c r="F15" s="49" t="n"/>
      <c r="G15" s="50" t="n"/>
      <c r="H15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5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5" showDropDown="0" showInputMessage="1" showErrorMessage="1" allowBlank="1" prompt="Invalid - Please select: To Do, In Progress, Done, or Blocked" type="list">
      <formula1>"To Do,In Progress,Done,Blocked"</formula1>
    </dataValidation>
    <dataValidation sqref="E8:E15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15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5  —  Playwright Test Runner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8</t>
        </is>
      </c>
      <c r="C5" s="58" t="n"/>
      <c r="D5" s="67">
        <f>COUNTIF(D8:D15,"Done")</f>
        <v/>
      </c>
      <c r="E5" s="68" t="n"/>
      <c r="F5" s="69">
        <f>IFERROR(D5/8,"0%")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PlaywrightRunnerService: write AI JS code to temp file /tmp/aibt/&lt;bugId&gt;.spec.js</t>
        </is>
      </c>
      <c r="D8" s="45" t="inlineStr">
        <is>
          <t>Done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Execute via ProcessBuilder: ['node', tempFilePath] with 30s timeout</t>
        </is>
      </c>
      <c r="D9" s="49" t="inlineStr">
        <is>
          <t>Done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Capture stdout + stderr; parse exit code: 0=PASS, non-zero=FAIL</t>
        </is>
      </c>
      <c r="D10" s="45" t="inlineStr">
        <is>
          <t>Done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Update TestScript: status=PASS/FAIL, logs=&lt;output&gt;, executedAt=now()</t>
        </is>
      </c>
      <c r="D11" s="49" t="inlineStr">
        <is>
          <t>Done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Chain execution immediately after AI generation (CompletableFuture chain)</t>
        </is>
      </c>
      <c r="D12" s="45" t="inlineStr">
        <is>
          <t>Done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GET /api/bugs/{id}/test-result — returns TestScript for frontend polling</t>
        </is>
      </c>
      <c r="D13" s="49" t="inlineStr">
        <is>
          <t>Done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Verify Node.js and Playwright installed in runtime; document setup steps in README</t>
        </is>
      </c>
      <c r="D14" s="45" t="inlineStr">
        <is>
          <t>Done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Integration test: submit dummy bug, verify TestScript status transitions</t>
        </is>
      </c>
      <c r="D15" s="49" t="inlineStr">
        <is>
          <t>Done</t>
        </is>
      </c>
      <c r="E15" s="49" t="inlineStr">
        <is>
          <t>Low</t>
        </is>
      </c>
      <c r="F15" s="49" t="n"/>
      <c r="G15" s="50" t="n"/>
      <c r="H15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5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5" showDropDown="0" showInputMessage="1" showErrorMessage="1" allowBlank="1" prompt="Invalid - Please select: To Do, In Progress, Done, or Blocked" type="list">
      <formula1>"To Do,In Progress,Done,Blocked"</formula1>
    </dataValidation>
    <dataValidation sqref="E8:E15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15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6  —  Email Notifications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8</t>
        </is>
      </c>
      <c r="C5" s="58" t="n"/>
      <c r="D5" s="67">
        <f>COUNTIF(D8:D15,"Done")</f>
        <v/>
      </c>
      <c r="E5" s="68" t="n"/>
      <c r="F5" s="69">
        <f>IFERROR(D5/8,"0%")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EmailService: wrap Brevo SMTP or Brevo Transactional REST API; inject credentials from env</t>
        </is>
      </c>
      <c r="D8" s="45" t="inlineStr">
        <is>
          <t>Done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Email template 1 — Bug Created: to assigned Developer (title, severity, description, link)</t>
        </is>
      </c>
      <c r="D9" s="49" t="inlineStr">
        <is>
          <t>Done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Email template 2 — Bug Updated (Admin edit): to Developer + Tester (changed fields)</t>
        </is>
      </c>
      <c r="D10" s="45" t="inlineStr">
        <is>
          <t>Done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Email template 3 — Status Changed (Dev action): to Tester + Admin (new status highlighted)</t>
        </is>
      </c>
      <c r="D11" s="49" t="inlineStr">
        <is>
          <t>Done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Email template 4 — Bug Withdrawn (Tester cancel): to assigned Developer</t>
        </is>
      </c>
      <c r="D12" s="45" t="inlineStr">
        <is>
          <t>Done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Email template 5 — Test Result: to Tester (PASS/FAIL badge, truncated logs)</t>
        </is>
      </c>
      <c r="D13" s="49" t="inlineStr">
        <is>
          <t>Done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All emails sent asynchronously (@Async) — do not block API response</t>
        </is>
      </c>
      <c r="D14" s="45" t="inlineStr">
        <is>
          <t>Done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Integration test: mock Brevo API, verify correct recipients and subjects per event</t>
        </is>
      </c>
      <c r="D15" s="49" t="inlineStr">
        <is>
          <t>Done</t>
        </is>
      </c>
      <c r="E15" s="49" t="inlineStr">
        <is>
          <t>Low</t>
        </is>
      </c>
      <c r="F15" s="49" t="n"/>
      <c r="G15" s="50" t="n"/>
      <c r="H15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5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5" showDropDown="0" showInputMessage="1" showErrorMessage="1" allowBlank="1" prompt="Invalid - Please select: To Do, In Progress, Done, or Blocked" type="list">
      <formula1>"To Do,In Progress,Done,Blocked"</formula1>
    </dataValidation>
    <dataValidation sqref="E8:E15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534AB7"/>
    <outlinePr summaryBelow="1" summaryRight="1"/>
    <pageSetUpPr fitToPage="1"/>
  </sheetPr>
  <dimension ref="A2:H15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64" t="inlineStr">
        <is>
          <t>Sprint 7  —  Testing &amp; Hardening</t>
        </is>
      </c>
    </row>
    <row r="3" ht="18" customHeight="1" s="53">
      <c r="B3" s="65" t="inlineStr">
        <is>
          <t>Phase 1 — Backend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66" t="inlineStr">
        <is>
          <t>Total Tasks: 8</t>
        </is>
      </c>
      <c r="C5" s="58" t="n"/>
      <c r="D5" s="67">
        <f>COUNTIF(D8:D15,"Done")</f>
        <v/>
      </c>
      <c r="E5" s="68" t="n"/>
      <c r="F5" s="69">
        <f>IFERROR(D5/8,"0%")</f>
        <v/>
      </c>
      <c r="G5" s="68" t="n"/>
    </row>
    <row r="6" ht="7.5" customHeight="1" s="53"/>
    <row r="7" ht="19.5" customHeight="1" s="53">
      <c r="A7" s="7" t="n"/>
      <c r="B7" s="7" t="inlineStr">
        <is>
          <t>#</t>
        </is>
      </c>
      <c r="C7" s="7" t="inlineStr">
        <is>
          <t>Task Description</t>
        </is>
      </c>
      <c r="D7" s="7" t="inlineStr">
        <is>
          <t>Status</t>
        </is>
      </c>
      <c r="E7" s="7" t="inlineStr">
        <is>
          <t>Priority</t>
        </is>
      </c>
      <c r="F7" s="7" t="inlineStr">
        <is>
          <t>Assigned To</t>
        </is>
      </c>
      <c r="G7" s="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@PreAuthorize on every controller method verified against role matrix</t>
        </is>
      </c>
      <c r="D8" s="45" t="inlineStr">
        <is>
          <t>To Do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JWT expiry, signature validation, and blacklist tested under adversarial inputs</t>
        </is>
      </c>
      <c r="D9" s="49" t="inlineStr">
        <is>
          <t>To Do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Input sanitisation: reject script tags and SQL patterns in free-text fields</t>
        </is>
      </c>
      <c r="D10" s="45" t="inlineStr">
        <is>
          <t>To Do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Rate limiting on POST /api/auth/login (5 attempts/min via Bucket4j or custom filter)</t>
        </is>
      </c>
      <c r="D11" s="49" t="inlineStr">
        <is>
          <t>To Do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CORS configuration: whitelist React dev server and production domain only</t>
        </is>
      </c>
      <c r="D12" s="45" t="inlineStr">
        <is>
          <t>To Do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Full integration test suite: auth, bug CRUD, AI mock, email mock, test runner mock</t>
        </is>
      </c>
      <c r="D13" s="49" t="inlineStr">
        <is>
          <t>To Do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SpringDoc OpenAPI / Swagger UI at /swagger-ui.html — document all endpoints</t>
        </is>
      </c>
      <c r="D14" s="45" t="inlineStr">
        <is>
          <t>To Do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Code review, refactor, and performance baseline check (CRUD &lt; 200ms)</t>
        </is>
      </c>
      <c r="D15" s="49" t="inlineStr">
        <is>
          <t>To Do</t>
        </is>
      </c>
      <c r="E15" s="49" t="inlineStr">
        <is>
          <t>Low</t>
        </is>
      </c>
      <c r="F15" s="49" t="n"/>
      <c r="G15" s="50" t="n"/>
      <c r="H15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5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5" showDropDown="0" showInputMessage="1" showErrorMessage="1" allowBlank="1" prompt="Invalid - Please select: To Do, In Progress, Done, or Blocked" type="list">
      <formula1>"To Do,In Progress,Done,Blocked"</formula1>
    </dataValidation>
    <dataValidation sqref="E8:E15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2:H1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70" t="inlineStr">
        <is>
          <t>Sprint 8  —  Setup &amp; Auth UI</t>
        </is>
      </c>
    </row>
    <row r="3" ht="18" customHeight="1" s="53">
      <c r="B3" s="65" t="inlineStr">
        <is>
          <t>Phase 2 — Frontend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71" t="inlineStr">
        <is>
          <t>Total Tasks: 9</t>
        </is>
      </c>
      <c r="C5" s="58" t="n"/>
      <c r="D5" s="67">
        <f>COUNTIF(D8:D16,"Done")</f>
        <v/>
      </c>
      <c r="E5" s="68" t="n"/>
      <c r="F5" s="69">
        <f>IFERROR(D5/9,"0%")</f>
        <v/>
      </c>
      <c r="G5" s="68" t="n"/>
    </row>
    <row r="6" ht="7.5" customHeight="1" s="53"/>
    <row r="7" ht="19.5" customHeight="1" s="53">
      <c r="A7" s="17" t="n"/>
      <c r="B7" s="17" t="inlineStr">
        <is>
          <t>#</t>
        </is>
      </c>
      <c r="C7" s="17" t="inlineStr">
        <is>
          <t>Task Description</t>
        </is>
      </c>
      <c r="D7" s="17" t="inlineStr">
        <is>
          <t>Status</t>
        </is>
      </c>
      <c r="E7" s="17" t="inlineStr">
        <is>
          <t>Priority</t>
        </is>
      </c>
      <c r="F7" s="17" t="inlineStr">
        <is>
          <t>Assigned To</t>
        </is>
      </c>
      <c r="G7" s="1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Vite + React 18 scaffold; install React Router v6, Axios, CSS Modules</t>
        </is>
      </c>
      <c r="D8" s="45" t="inlineStr">
        <is>
          <t>To Do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Axios instance: base URL, JWT Authorization header interceptor, 401 redirect interceptor</t>
        </is>
      </c>
      <c r="D9" s="49" t="inlineStr">
        <is>
          <t>To Do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JWT stored in React context (never localStorage); clear on logout</t>
        </is>
      </c>
      <c r="D10" s="45" t="inlineStr">
        <is>
          <t>To Do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Login page: email + password form, inline validation, error toast (UC-001, UC-009, UC-014)</t>
        </is>
      </c>
      <c r="D11" s="49" t="inlineStr">
        <is>
          <t>To Do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Signup page (Tester only): name, email, password, confirm password, role=Tester hardcoded (UC-013)</t>
        </is>
      </c>
      <c r="D12" s="45" t="inlineStr">
        <is>
          <t>To Do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ProtectedRoute component: checks auth context, redirect to /login if unauthenticated</t>
        </is>
      </c>
      <c r="D13" s="49" t="inlineStr">
        <is>
          <t>To Do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RoleRoute component: checks user role, shows 403 page if wrong role</t>
        </is>
      </c>
      <c r="D14" s="45" t="inlineStr">
        <is>
          <t>To Do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Logout flow: POST /api/auth/logout, clear context, redirect to /login (UC-020)</t>
        </is>
      </c>
      <c r="D15" s="49" t="inlineStr">
        <is>
          <t>To Do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Reusable loading spinner and skeleton placeholder components</t>
        </is>
      </c>
      <c r="D16" s="45" t="inlineStr">
        <is>
          <t>To Do</t>
        </is>
      </c>
      <c r="E16" s="45" t="inlineStr">
        <is>
          <t>Low</t>
        </is>
      </c>
      <c r="F16" s="45" t="n"/>
      <c r="G16" s="46" t="n"/>
      <c r="H16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6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6" showDropDown="0" showInputMessage="1" showErrorMessage="1" allowBlank="1" prompt="Invalid - Please select: To Do, In Progress, Done, or Blocked" type="list">
      <formula1>"To Do,In Progress,Done,Blocked"</formula1>
    </dataValidation>
    <dataValidation sqref="E8:E16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2:H17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70" t="inlineStr">
        <is>
          <t>Sprint 9  —  Admin Dashboard</t>
        </is>
      </c>
    </row>
    <row r="3" ht="18" customHeight="1" s="53">
      <c r="B3" s="65" t="inlineStr">
        <is>
          <t>Phase 2 — Frontend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71" t="inlineStr">
        <is>
          <t>Total Tasks: 10</t>
        </is>
      </c>
      <c r="C5" s="58" t="n"/>
      <c r="D5" s="67">
        <f>COUNTIF(D8:D17,"Done")</f>
        <v/>
      </c>
      <c r="E5" s="68" t="n"/>
      <c r="F5" s="69">
        <f>IFERROR(D5/10,"0%")</f>
        <v/>
      </c>
      <c r="G5" s="68" t="n"/>
    </row>
    <row r="6" ht="7.5" customHeight="1" s="53"/>
    <row r="7" ht="19.5" customHeight="1" s="53">
      <c r="A7" s="17" t="n"/>
      <c r="B7" s="17" t="inlineStr">
        <is>
          <t>#</t>
        </is>
      </c>
      <c r="C7" s="17" t="inlineStr">
        <is>
          <t>Task Description</t>
        </is>
      </c>
      <c r="D7" s="17" t="inlineStr">
        <is>
          <t>Status</t>
        </is>
      </c>
      <c r="E7" s="17" t="inlineStr">
        <is>
          <t>Priority</t>
        </is>
      </c>
      <c r="F7" s="17" t="inlineStr">
        <is>
          <t>Assigned To</t>
        </is>
      </c>
      <c r="G7" s="1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Admin dashboard layout: sidebar nav (Bugs, Manage Users, Logout) + topbar with avatar</t>
        </is>
      </c>
      <c r="D8" s="45" t="inlineStr">
        <is>
          <t>To Do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Bug list table: ID, title, severity badge, status badge, assignee, date, actions (edit/delete)</t>
        </is>
      </c>
      <c r="D9" s="49" t="inlineStr">
        <is>
          <t>To Do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Table client-side sort by any column and filter by status / severity pill chips</t>
        </is>
      </c>
      <c r="D10" s="45" t="inlineStr">
        <is>
          <t>To Do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Add Bug modal form: title, description, severity, developer dropdown — POST /api/bugs (UC-003)</t>
        </is>
      </c>
      <c r="D11" s="49" t="inlineStr">
        <is>
          <t>To Do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Edit Bug modal: pre-filled from selected row — PUT /api/bugs/{id} (UC-004)</t>
        </is>
      </c>
      <c r="D12" s="45" t="inlineStr">
        <is>
          <t>To Do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Delete Bug: confirmation dialog with bug title — DELETE /api/bugs/{id} (UC-005)</t>
        </is>
      </c>
      <c r="D13" s="49" t="inlineStr">
        <is>
          <t>To Do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Manage Users page: table of all users with Edit and Delete per row (UC-006)</t>
        </is>
      </c>
      <c r="D14" s="45" t="inlineStr">
        <is>
          <t>To Do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Update User Profile modal: email + phone only — PUT /api/users/{id} (UC-007)</t>
        </is>
      </c>
      <c r="D15" s="49" t="inlineStr">
        <is>
          <t>To Do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Delete User: confirmation dialog — DELETE /api/users/{id} (UC-008)</t>
        </is>
      </c>
      <c r="D16" s="45" t="inlineStr">
        <is>
          <t>To Do</t>
        </is>
      </c>
      <c r="E16" s="45" t="inlineStr">
        <is>
          <t>Low</t>
        </is>
      </c>
      <c r="F16" s="45" t="n"/>
      <c r="G16" s="46" t="n"/>
      <c r="H16" s="41" t="n"/>
    </row>
    <row r="17" ht="21.75" customHeight="1" s="53">
      <c r="A17" s="41" t="n"/>
      <c r="B17" s="47" t="n">
        <v>10</v>
      </c>
      <c r="C17" s="48" t="inlineStr">
        <is>
          <t>Toast notification system (success / error) on every API action</t>
        </is>
      </c>
      <c r="D17" s="49" t="inlineStr">
        <is>
          <t>To Do</t>
        </is>
      </c>
      <c r="E17" s="49" t="inlineStr">
        <is>
          <t>Low</t>
        </is>
      </c>
      <c r="F17" s="49" t="n"/>
      <c r="G17" s="50" t="n"/>
      <c r="H17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7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7" showDropDown="0" showInputMessage="1" showErrorMessage="1" allowBlank="1" prompt="Invalid - Please select: To Do, In Progress, Done, or Blocked" type="list">
      <formula1>"To Do,In Progress,Done,Blocked"</formula1>
    </dataValidation>
    <dataValidation sqref="E8:E17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2:H1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70" t="inlineStr">
        <is>
          <t>Sprint 10  —  Developer Dashboard</t>
        </is>
      </c>
    </row>
    <row r="3" ht="18" customHeight="1" s="53">
      <c r="B3" s="65" t="inlineStr">
        <is>
          <t>Phase 2 — Frontend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71" t="inlineStr">
        <is>
          <t>Total Tasks: 9</t>
        </is>
      </c>
      <c r="C5" s="58" t="n"/>
      <c r="D5" s="67">
        <f>COUNTIF(D8:D16,"Done")</f>
        <v/>
      </c>
      <c r="E5" s="68" t="n"/>
      <c r="F5" s="69">
        <f>IFERROR(D5/9,"0%")</f>
        <v/>
      </c>
      <c r="G5" s="68" t="n"/>
    </row>
    <row r="6" ht="7.5" customHeight="1" s="53"/>
    <row r="7" ht="19.5" customHeight="1" s="53">
      <c r="A7" s="17" t="n"/>
      <c r="B7" s="17" t="inlineStr">
        <is>
          <t>#</t>
        </is>
      </c>
      <c r="C7" s="17" t="inlineStr">
        <is>
          <t>Task Description</t>
        </is>
      </c>
      <c r="D7" s="17" t="inlineStr">
        <is>
          <t>Status</t>
        </is>
      </c>
      <c r="E7" s="17" t="inlineStr">
        <is>
          <t>Priority</t>
        </is>
      </c>
      <c r="F7" s="17" t="inlineStr">
        <is>
          <t>Assigned To</t>
        </is>
      </c>
      <c r="G7" s="1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Developer dashboard layout: sidebar (My Bugs, Logout) + topbar (UC-010)</t>
        </is>
      </c>
      <c r="D8" s="45" t="inlineStr">
        <is>
          <t>To Do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Assigned bugs table: title, severity, status, test result, filed date, actions</t>
        </is>
      </c>
      <c r="D9" s="49" t="inlineStr">
        <is>
          <t>To Do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Update Status: inline dropdown per row (Open/In Progress/Resolved/Closed) — PATCH (UC-011)</t>
        </is>
      </c>
      <c r="D10" s="45" t="inlineStr">
        <is>
          <t>To Do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Confirmation popover before status change: current → new status preview</t>
        </is>
      </c>
      <c r="D11" s="49" t="inlineStr">
        <is>
          <t>To Do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Email dispatch confirmation toast after status update</t>
        </is>
      </c>
      <c r="D12" s="45" t="inlineStr">
        <is>
          <t>To Do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Bug detail page (click row): full bug info + AI Generated Test section (UC-012)</t>
        </is>
      </c>
      <c r="D13" s="49" t="inlineStr">
        <is>
          <t>To Do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AI test script viewer: syntax-highlighted code block (highlight.js / Prism), Copy button</t>
        </is>
      </c>
      <c r="D14" s="45" t="inlineStr">
        <is>
          <t>To Do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Test result section: PASS/FAIL badge, executedAt timestamp, scrollable log output</t>
        </is>
      </c>
      <c r="D15" s="49" t="inlineStr">
        <is>
          <t>To Do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Poll GET /api/bugs/{id}/test-result every 3s while PENDING; stop on PASS or FAIL</t>
        </is>
      </c>
      <c r="D16" s="45" t="inlineStr">
        <is>
          <t>To Do</t>
        </is>
      </c>
      <c r="E16" s="45" t="inlineStr">
        <is>
          <t>Low</t>
        </is>
      </c>
      <c r="F16" s="45" t="n"/>
      <c r="G16" s="46" t="n"/>
      <c r="H16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6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6" showDropDown="0" showInputMessage="1" showErrorMessage="1" allowBlank="1" prompt="Invalid - Please select: To Do, In Progress, Done, or Blocked" type="list">
      <formula1>"To Do,In Progress,Done,Blocked"</formula1>
    </dataValidation>
    <dataValidation sqref="E8:E16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2:H1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70" t="inlineStr">
        <is>
          <t>Sprint 11  —  Tester Dashboard</t>
        </is>
      </c>
    </row>
    <row r="3" ht="18" customHeight="1" s="53">
      <c r="B3" s="65" t="inlineStr">
        <is>
          <t>Phase 2 — Frontend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71" t="inlineStr">
        <is>
          <t>Total Tasks: 9</t>
        </is>
      </c>
      <c r="C5" s="58" t="n"/>
      <c r="D5" s="67">
        <f>COUNTIF(D8:D16,"Done")</f>
        <v/>
      </c>
      <c r="E5" s="68" t="n"/>
      <c r="F5" s="69">
        <f>IFERROR(D5/9,"0%")</f>
        <v/>
      </c>
      <c r="G5" s="68" t="n"/>
    </row>
    <row r="6" ht="7.5" customHeight="1" s="53"/>
    <row r="7" ht="19.5" customHeight="1" s="53">
      <c r="A7" s="17" t="n"/>
      <c r="B7" s="17" t="inlineStr">
        <is>
          <t>#</t>
        </is>
      </c>
      <c r="C7" s="17" t="inlineStr">
        <is>
          <t>Task Description</t>
        </is>
      </c>
      <c r="D7" s="17" t="inlineStr">
        <is>
          <t>Status</t>
        </is>
      </c>
      <c r="E7" s="17" t="inlineStr">
        <is>
          <t>Priority</t>
        </is>
      </c>
      <c r="F7" s="17" t="inlineStr">
        <is>
          <t>Assigned To</t>
        </is>
      </c>
      <c r="G7" s="1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Tester dashboard: sidebar + stat cards (total filed, open count, AI tests, pass rate)</t>
        </is>
      </c>
      <c r="D8" s="45" t="inlineStr">
        <is>
          <t>To Do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My bugs table: title, severity, status, test result, date, View + Cancel actions</t>
        </is>
      </c>
      <c r="D9" s="49" t="inlineStr">
        <is>
          <t>To Do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Filter pills: All / Open / In Progress / Resolved — client-side filter (UC-015)</t>
        </is>
      </c>
      <c r="D10" s="45" t="inlineStr">
        <is>
          <t>To Do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Submit Bug modal: title, plain-English description, severity, assign to dev — POST (UC-016)</t>
        </is>
      </c>
      <c r="D11" s="49" t="inlineStr">
        <is>
          <t>To Do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AI generation feedback: spinner after submission, auto-refresh test result</t>
        </is>
      </c>
      <c r="D12" s="45" t="inlineStr">
        <is>
          <t>To Do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Cancel Bug: confirmation dialog, PATCH /cancel, disable Cancel for Resolved/Withdrawn (UC-018)</t>
        </is>
      </c>
      <c r="D13" s="49" t="inlineStr">
        <is>
          <t>To Do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Bug detail page: AI test script viewer + test result logs, read-only (UC-017)</t>
        </is>
      </c>
      <c r="D14" s="45" t="inlineStr">
        <is>
          <t>To Do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Change Password modal: current, new, confirm — PATCH /api/users/password (UC-019)</t>
        </is>
      </c>
      <c r="D15" s="49" t="inlineStr">
        <is>
          <t>To Do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Inline validation on all forms: required, min-length, email format, password match</t>
        </is>
      </c>
      <c r="D16" s="45" t="inlineStr">
        <is>
          <t>To Do</t>
        </is>
      </c>
      <c r="E16" s="45" t="inlineStr">
        <is>
          <t>Low</t>
        </is>
      </c>
      <c r="F16" s="45" t="n"/>
      <c r="G16" s="46" t="n"/>
      <c r="H16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6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6" showDropDown="0" showInputMessage="1" showErrorMessage="1" allowBlank="1" prompt="Invalid - Please select: To Do, In Progress, Done, or Blocked" type="list">
      <formula1>"To Do,In Progress,Done,Blocked"</formula1>
    </dataValidation>
    <dataValidation sqref="E8:E16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2:H17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8" defaultColWidth="14.43" defaultRowHeight="15" customHeight="1"/>
  <cols>
    <col width="4" customWidth="1" style="53" min="1" max="1"/>
    <col width="5" customWidth="1" style="53" min="2" max="2"/>
    <col width="56" customWidth="1" style="53" min="3" max="3"/>
    <col width="18" customWidth="1" style="53" min="4" max="4"/>
    <col width="16" customWidth="1" style="53" min="5" max="5"/>
    <col width="18" customWidth="1" style="53" min="6" max="6"/>
    <col width="16" customWidth="1" style="53" min="7" max="7"/>
    <col width="4" customWidth="1" style="53" min="8" max="8"/>
    <col width="8.710000000000001" customWidth="1" style="53" min="9" max="26"/>
  </cols>
  <sheetData>
    <row r="1" ht="7.5" customHeight="1" s="53"/>
    <row r="2" ht="36" customHeight="1" s="53">
      <c r="B2" s="70" t="inlineStr">
        <is>
          <t>Sprint 12  —  Polish &amp; QA</t>
        </is>
      </c>
    </row>
    <row r="3" ht="18" customHeight="1" s="53">
      <c r="B3" s="65" t="inlineStr">
        <is>
          <t>Phase 2 — Frontend  |  AI-Powered Bug Tracker (AIBT-2026)  |  Check off tasks as you complete them</t>
        </is>
      </c>
    </row>
    <row r="4" ht="7.5" customHeight="1" s="53">
      <c r="B4" s="36" t="inlineStr">
        <is>
          <t>Tasks</t>
        </is>
      </c>
      <c r="D4" s="36" t="inlineStr">
        <is>
          <t>Completed</t>
        </is>
      </c>
      <c r="F4" s="36" t="inlineStr">
        <is>
          <t>Progress</t>
        </is>
      </c>
    </row>
    <row r="5" ht="31.5" customHeight="1" s="53">
      <c r="B5" s="71" t="inlineStr">
        <is>
          <t>Total Tasks: 10</t>
        </is>
      </c>
      <c r="C5" s="58" t="n"/>
      <c r="D5" s="67">
        <f>COUNTIF(D8:D17,"Done")</f>
        <v/>
      </c>
      <c r="E5" s="68" t="n"/>
      <c r="F5" s="69">
        <f>IFERROR(D5/10,"0%")</f>
        <v/>
      </c>
      <c r="G5" s="68" t="n"/>
    </row>
    <row r="6" ht="7.5" customHeight="1" s="53"/>
    <row r="7" ht="19.5" customHeight="1" s="53">
      <c r="A7" s="17" t="n"/>
      <c r="B7" s="17" t="inlineStr">
        <is>
          <t>#</t>
        </is>
      </c>
      <c r="C7" s="17" t="inlineStr">
        <is>
          <t>Task Description</t>
        </is>
      </c>
      <c r="D7" s="17" t="inlineStr">
        <is>
          <t>Status</t>
        </is>
      </c>
      <c r="E7" s="17" t="inlineStr">
        <is>
          <t>Priority</t>
        </is>
      </c>
      <c r="F7" s="17" t="inlineStr">
        <is>
          <t>Assigned To</t>
        </is>
      </c>
      <c r="G7" s="17" t="inlineStr">
        <is>
          <t>Notes</t>
        </is>
      </c>
    </row>
    <row r="8" ht="21.75" customHeight="1" s="53">
      <c r="A8" s="41" t="n"/>
      <c r="B8" s="42" t="n">
        <v>1</v>
      </c>
      <c r="C8" s="43" t="inlineStr">
        <is>
          <t>Responsive layout audit: all dashboards work at 1280px and 1024px minimum</t>
        </is>
      </c>
      <c r="D8" s="45" t="inlineStr">
        <is>
          <t>To Do</t>
        </is>
      </c>
      <c r="E8" s="45" t="inlineStr">
        <is>
          <t>High</t>
        </is>
      </c>
      <c r="F8" s="45" t="n"/>
      <c r="G8" s="46" t="n"/>
      <c r="H8" s="41" t="n"/>
    </row>
    <row r="9" ht="21.75" customHeight="1" s="53">
      <c r="A9" s="41" t="n"/>
      <c r="B9" s="47" t="n">
        <v>2</v>
      </c>
      <c r="C9" s="48" t="inlineStr">
        <is>
          <t>Dark mode: CSS variables / media query implementation across all pages</t>
        </is>
      </c>
      <c r="D9" s="49" t="inlineStr">
        <is>
          <t>To Do</t>
        </is>
      </c>
      <c r="E9" s="49" t="inlineStr">
        <is>
          <t>High</t>
        </is>
      </c>
      <c r="F9" s="49" t="n"/>
      <c r="G9" s="50" t="n"/>
      <c r="H9" s="41" t="n"/>
    </row>
    <row r="10" ht="21.75" customHeight="1" s="53">
      <c r="A10" s="41" t="n"/>
      <c r="B10" s="42" t="n">
        <v>3</v>
      </c>
      <c r="C10" s="43" t="inlineStr">
        <is>
          <t>Empty state illustrations for tables with zero results</t>
        </is>
      </c>
      <c r="D10" s="45" t="inlineStr">
        <is>
          <t>To Do</t>
        </is>
      </c>
      <c r="E10" s="45" t="inlineStr">
        <is>
          <t>High</t>
        </is>
      </c>
      <c r="F10" s="45" t="n"/>
      <c r="G10" s="46" t="n"/>
      <c r="H10" s="41" t="n"/>
    </row>
    <row r="11" ht="21.75" customHeight="1" s="53">
      <c r="A11" s="41" t="n"/>
      <c r="B11" s="47" t="n">
        <v>4</v>
      </c>
      <c r="C11" s="48" t="inlineStr">
        <is>
          <t>Error boundary components: catch render errors, show friendly fallback UI</t>
        </is>
      </c>
      <c r="D11" s="49" t="inlineStr">
        <is>
          <t>To Do</t>
        </is>
      </c>
      <c r="E11" s="49" t="inlineStr">
        <is>
          <t>Medium</t>
        </is>
      </c>
      <c r="F11" s="49" t="n"/>
      <c r="G11" s="50" t="n"/>
      <c r="H11" s="41" t="n"/>
    </row>
    <row r="12" ht="21.75" customHeight="1" s="53">
      <c r="A12" s="41" t="n"/>
      <c r="B12" s="42" t="n">
        <v>5</v>
      </c>
      <c r="C12" s="43" t="inlineStr">
        <is>
          <t>Accessibility pass: ARIA labels on all interactive elements, keyboard navigation for modals</t>
        </is>
      </c>
      <c r="D12" s="45" t="inlineStr">
        <is>
          <t>To Do</t>
        </is>
      </c>
      <c r="E12" s="45" t="inlineStr">
        <is>
          <t>Medium</t>
        </is>
      </c>
      <c r="F12" s="45" t="n"/>
      <c r="G12" s="46" t="n"/>
      <c r="H12" s="41" t="n"/>
    </row>
    <row r="13" ht="21.75" customHeight="1" s="53">
      <c r="A13" s="41" t="n"/>
      <c r="B13" s="47" t="n">
        <v>6</v>
      </c>
      <c r="C13" s="48" t="inlineStr">
        <is>
          <t>Cross-browser test: Chrome, Firefox, Edge — verify JWT flow end-to-end</t>
        </is>
      </c>
      <c r="D13" s="49" t="inlineStr">
        <is>
          <t>To Do</t>
        </is>
      </c>
      <c r="E13" s="49" t="inlineStr">
        <is>
          <t>Medium</t>
        </is>
      </c>
      <c r="F13" s="49" t="n"/>
      <c r="G13" s="50" t="n"/>
      <c r="H13" s="41" t="n"/>
    </row>
    <row r="14" ht="21.75" customHeight="1" s="53">
      <c r="A14" s="41" t="n"/>
      <c r="B14" s="42" t="n">
        <v>7</v>
      </c>
      <c r="C14" s="43" t="inlineStr">
        <is>
          <t>E2E smoke test: Tester signup → submit bug → AI test → Developer status update → Tester sees result</t>
        </is>
      </c>
      <c r="D14" s="45" t="inlineStr">
        <is>
          <t>To Do</t>
        </is>
      </c>
      <c r="E14" s="45" t="inlineStr">
        <is>
          <t>Medium</t>
        </is>
      </c>
      <c r="F14" s="45" t="n"/>
      <c r="G14" s="46" t="n"/>
      <c r="H14" s="41" t="n"/>
    </row>
    <row r="15" ht="21.75" customHeight="1" s="53">
      <c r="A15" s="41" t="n"/>
      <c r="B15" s="47" t="n">
        <v>8</v>
      </c>
      <c r="C15" s="48" t="inlineStr">
        <is>
          <t>.env.production config (API base URL, AI key placeholder), README with setup steps</t>
        </is>
      </c>
      <c r="D15" s="49" t="inlineStr">
        <is>
          <t>To Do</t>
        </is>
      </c>
      <c r="E15" s="49" t="inlineStr">
        <is>
          <t>Low</t>
        </is>
      </c>
      <c r="F15" s="49" t="n"/>
      <c r="G15" s="50" t="n"/>
      <c r="H15" s="41" t="n"/>
    </row>
    <row r="16" ht="21.75" customHeight="1" s="53">
      <c r="A16" s="41" t="n"/>
      <c r="B16" s="42" t="n">
        <v>9</v>
      </c>
      <c r="C16" s="43" t="inlineStr">
        <is>
          <t>Dockerfile for frontend (nginx) + docker-compose linking backend + frontend + PostgreSQL</t>
        </is>
      </c>
      <c r="D16" s="45" t="inlineStr">
        <is>
          <t>To Do</t>
        </is>
      </c>
      <c r="E16" s="45" t="inlineStr">
        <is>
          <t>Low</t>
        </is>
      </c>
      <c r="F16" s="45" t="n"/>
      <c r="G16" s="46" t="n"/>
      <c r="H16" s="41" t="n"/>
    </row>
    <row r="17" ht="21.75" customHeight="1" s="53">
      <c r="A17" s="41" t="n"/>
      <c r="B17" s="47" t="n">
        <v>10</v>
      </c>
      <c r="C17" s="48" t="inlineStr">
        <is>
          <t>Final team review, bug bash, sign-off against all 20 use cases (UC-001 to UC-020)</t>
        </is>
      </c>
      <c r="D17" s="49" t="inlineStr">
        <is>
          <t>To Do</t>
        </is>
      </c>
      <c r="E17" s="49" t="inlineStr">
        <is>
          <t>Low</t>
        </is>
      </c>
      <c r="F17" s="49" t="n"/>
      <c r="G17" s="50" t="n"/>
      <c r="H17" s="41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5">
    <mergeCell ref="B3:G3"/>
    <mergeCell ref="B2:G2"/>
    <mergeCell ref="B5:C5"/>
    <mergeCell ref="F5:G5"/>
    <mergeCell ref="D5:E5"/>
  </mergeCells>
  <conditionalFormatting sqref="C8:G17">
    <cfRule type="expression" priority="1" dxfId="0">
      <formula>$D8="Done"</formula>
    </cfRule>
    <cfRule type="expression" priority="2" dxfId="1">
      <formula>$D8="In Progress"</formula>
    </cfRule>
    <cfRule type="expression" priority="3" dxfId="2">
      <formula>$D8="Blocked"</formula>
    </cfRule>
  </conditionalFormatting>
  <dataValidations count="2">
    <dataValidation sqref="D8:D17" showDropDown="0" showInputMessage="1" showErrorMessage="1" allowBlank="1" prompt="Invalid - Please select: To Do, In Progress, Done, or Blocked" type="list">
      <formula1>"To Do,In Progress,Done,Blocked"</formula1>
    </dataValidation>
    <dataValidation sqref="E8:E17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2026-05-03T09:24:51Z</dcterms:created>
  <dcterms:modified xsi:type="dcterms:W3CDTF">2026-07-04T03:23:39Z</dcterms:modified>
</cp:coreProperties>
</file>